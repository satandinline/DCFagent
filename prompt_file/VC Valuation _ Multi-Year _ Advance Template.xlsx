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y Drive\The VC Corner\Tangibles\VC Method Valuation Template\"/>
    </mc:Choice>
  </mc:AlternateContent>
  <xr:revisionPtr revIDLastSave="0" documentId="8_{ED009241-2375-4391-9FB8-2586AC58E9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0tPtNzIje6zXyxlFRi6vxGeBe2+5Fb3f/wnGChWi8pc="/>
    </ext>
  </extLst>
</workbook>
</file>

<file path=xl/calcChain.xml><?xml version="1.0" encoding="utf-8"?>
<calcChain xmlns="http://schemas.openxmlformats.org/spreadsheetml/2006/main">
  <c r="J31" i="1" l="1"/>
  <c r="M30" i="1"/>
  <c r="M31" i="1" s="1"/>
  <c r="L30" i="1"/>
  <c r="L31" i="1" s="1"/>
  <c r="K30" i="1"/>
  <c r="J30" i="1"/>
  <c r="J29" i="1"/>
  <c r="H28" i="1"/>
  <c r="O26" i="1"/>
  <c r="M26" i="1"/>
  <c r="N26" i="1" s="1"/>
  <c r="L26" i="1"/>
  <c r="K26" i="1"/>
  <c r="F26" i="1"/>
  <c r="K25" i="1"/>
  <c r="J25" i="1"/>
  <c r="J20" i="1"/>
  <c r="J19" i="1"/>
  <c r="D19" i="1"/>
  <c r="B19" i="1"/>
  <c r="D18" i="1"/>
  <c r="B18" i="1"/>
  <c r="U17" i="1"/>
  <c r="T17" i="1"/>
  <c r="S17" i="1"/>
  <c r="R17" i="1"/>
  <c r="Q17" i="1"/>
  <c r="P17" i="1"/>
  <c r="O17" i="1"/>
  <c r="N17" i="1"/>
  <c r="M17" i="1"/>
  <c r="L17" i="1"/>
  <c r="D16" i="1"/>
  <c r="B16" i="1"/>
  <c r="J15" i="1"/>
  <c r="N14" i="1"/>
  <c r="M14" i="1"/>
  <c r="L14" i="1"/>
  <c r="J14" i="1"/>
  <c r="M13" i="1"/>
  <c r="L13" i="1"/>
  <c r="J13" i="1"/>
  <c r="M12" i="1"/>
  <c r="J12" i="1"/>
  <c r="M11" i="1"/>
  <c r="L11" i="1"/>
  <c r="L12" i="1" s="1"/>
  <c r="L15" i="1" s="1"/>
  <c r="H11" i="1"/>
  <c r="M10" i="1"/>
  <c r="L10" i="1"/>
  <c r="J10" i="1"/>
  <c r="M7" i="1"/>
  <c r="N7" i="1" s="1"/>
  <c r="K6" i="1"/>
  <c r="L6" i="1" s="1"/>
  <c r="L25" i="1" l="1"/>
  <c r="M15" i="1"/>
  <c r="M6" i="1"/>
  <c r="L5" i="1"/>
  <c r="L16" i="1"/>
  <c r="L18" i="1" s="1"/>
  <c r="L19" i="1" s="1"/>
  <c r="O7" i="1"/>
  <c r="N10" i="1"/>
  <c r="N30" i="1"/>
  <c r="N31" i="1" s="1"/>
  <c r="N11" i="1"/>
  <c r="N13" i="1"/>
  <c r="K5" i="1"/>
  <c r="M16" i="1" l="1"/>
  <c r="M18" i="1" s="1"/>
  <c r="N6" i="1"/>
  <c r="M5" i="1"/>
  <c r="M19" i="1"/>
  <c r="M25" i="1"/>
  <c r="N12" i="1"/>
  <c r="N15" i="1" s="1"/>
  <c r="P7" i="1"/>
  <c r="O10" i="1"/>
  <c r="O30" i="1"/>
  <c r="O31" i="1" s="1"/>
  <c r="O11" i="1"/>
  <c r="O13" i="1"/>
  <c r="O14" i="1"/>
  <c r="O12" i="1" l="1"/>
  <c r="O15" i="1" s="1"/>
  <c r="P10" i="1"/>
  <c r="P12" i="1" s="1"/>
  <c r="P15" i="1" s="1"/>
  <c r="P30" i="1"/>
  <c r="P31" i="1" s="1"/>
  <c r="Q7" i="1"/>
  <c r="P11" i="1"/>
  <c r="P13" i="1"/>
  <c r="P26" i="1"/>
  <c r="P14" i="1"/>
  <c r="N19" i="1"/>
  <c r="N25" i="1"/>
  <c r="O6" i="1"/>
  <c r="N5" i="1"/>
  <c r="N16" i="1"/>
  <c r="N18" i="1" s="1"/>
  <c r="P6" i="1" l="1"/>
  <c r="O5" i="1"/>
  <c r="O16" i="1"/>
  <c r="O18" i="1" s="1"/>
  <c r="Q10" i="1"/>
  <c r="Q11" i="1"/>
  <c r="R7" i="1"/>
  <c r="Q13" i="1"/>
  <c r="Q26" i="1"/>
  <c r="Q14" i="1"/>
  <c r="Q30" i="1"/>
  <c r="Q31" i="1" s="1"/>
  <c r="P25" i="1"/>
  <c r="O25" i="1"/>
  <c r="O19" i="1"/>
  <c r="S7" i="1" l="1"/>
  <c r="R11" i="1"/>
  <c r="R10" i="1"/>
  <c r="R12" i="1" s="1"/>
  <c r="R15" i="1" s="1"/>
  <c r="R13" i="1"/>
  <c r="R26" i="1"/>
  <c r="R14" i="1"/>
  <c r="Q12" i="1"/>
  <c r="Q15" i="1" s="1"/>
  <c r="P16" i="1"/>
  <c r="P18" i="1" s="1"/>
  <c r="P19" i="1" s="1"/>
  <c r="P5" i="1"/>
  <c r="Q6" i="1"/>
  <c r="Q16" i="1" l="1"/>
  <c r="Q18" i="1" s="1"/>
  <c r="Q19" i="1" s="1"/>
  <c r="R6" i="1"/>
  <c r="Q5" i="1"/>
  <c r="Q25" i="1"/>
  <c r="R25" i="1"/>
  <c r="R30" i="1" s="1"/>
  <c r="R31" i="1" s="1"/>
  <c r="S13" i="1"/>
  <c r="S26" i="1"/>
  <c r="S10" i="1"/>
  <c r="S30" i="1"/>
  <c r="S31" i="1" s="1"/>
  <c r="S11" i="1"/>
  <c r="S14" i="1"/>
  <c r="T7" i="1"/>
  <c r="T10" i="1" l="1"/>
  <c r="T13" i="1"/>
  <c r="T14" i="1"/>
  <c r="T30" i="1"/>
  <c r="T31" i="1" s="1"/>
  <c r="T11" i="1"/>
  <c r="T26" i="1"/>
  <c r="U7" i="1"/>
  <c r="S12" i="1"/>
  <c r="S15" i="1" s="1"/>
  <c r="R16" i="1"/>
  <c r="R18" i="1" s="1"/>
  <c r="R19" i="1" s="1"/>
  <c r="S6" i="1"/>
  <c r="R5" i="1"/>
  <c r="S25" i="1" l="1"/>
  <c r="U30" i="1"/>
  <c r="U31" i="1" s="1"/>
  <c r="U11" i="1"/>
  <c r="U14" i="1"/>
  <c r="U13" i="1"/>
  <c r="U26" i="1"/>
  <c r="U10" i="1"/>
  <c r="U12" i="1" s="1"/>
  <c r="U15" i="1" s="1"/>
  <c r="S16" i="1"/>
  <c r="S18" i="1" s="1"/>
  <c r="S19" i="1" s="1"/>
  <c r="T6" i="1"/>
  <c r="S5" i="1"/>
  <c r="S4" i="1" s="1"/>
  <c r="T12" i="1"/>
  <c r="T15" i="1" s="1"/>
  <c r="T25" i="1" l="1"/>
  <c r="T16" i="1"/>
  <c r="T18" i="1" s="1"/>
  <c r="T19" i="1" s="1"/>
  <c r="U6" i="1"/>
  <c r="T5" i="1"/>
  <c r="T4" i="1" s="1"/>
  <c r="U25" i="1"/>
  <c r="U16" i="1" l="1"/>
  <c r="U18" i="1" s="1"/>
  <c r="U19" i="1" s="1"/>
  <c r="K20" i="1" s="1"/>
  <c r="K29" i="1" s="1"/>
  <c r="K31" i="1" s="1"/>
  <c r="U5" i="1"/>
  <c r="U4" i="1" s="1"/>
  <c r="K33" i="1" l="1"/>
  <c r="K32" i="1"/>
</calcChain>
</file>

<file path=xl/sharedStrings.xml><?xml version="1.0" encoding="utf-8"?>
<sst xmlns="http://schemas.openxmlformats.org/spreadsheetml/2006/main" count="53" uniqueCount="46">
  <si>
    <t xml:space="preserve"> VC Valuation Method Example</t>
  </si>
  <si>
    <t>Example Calculation</t>
  </si>
  <si>
    <t>Financial Projections</t>
  </si>
  <si>
    <t>Unit</t>
  </si>
  <si>
    <t>Cash Flow Date</t>
  </si>
  <si>
    <t>Forecast Year</t>
  </si>
  <si>
    <t>Assumptions</t>
  </si>
  <si>
    <t>VC Valuation</t>
  </si>
  <si>
    <t>Scenario</t>
  </si>
  <si>
    <t>#</t>
  </si>
  <si>
    <t>Revenue</t>
  </si>
  <si>
    <t>x</t>
  </si>
  <si>
    <t>Valuation Assumptions</t>
  </si>
  <si>
    <t>Enterprise Value (EV)</t>
  </si>
  <si>
    <t>Currency</t>
  </si>
  <si>
    <t>USD</t>
  </si>
  <si>
    <t>- Financial Debt</t>
  </si>
  <si>
    <t>Valuation Date</t>
  </si>
  <si>
    <t>Date</t>
  </si>
  <si>
    <t>+ Cash</t>
  </si>
  <si>
    <t>Exit Year</t>
  </si>
  <si>
    <t>Year</t>
  </si>
  <si>
    <t>Equity Value</t>
  </si>
  <si>
    <t>Discount Period</t>
  </si>
  <si>
    <t>Years</t>
  </si>
  <si>
    <t>EV/Revenue Multiple</t>
  </si>
  <si>
    <t>Discount Rate</t>
  </si>
  <si>
    <t>%</t>
  </si>
  <si>
    <t>Discount Factor</t>
  </si>
  <si>
    <t>Present Value</t>
  </si>
  <si>
    <t>Required Return</t>
  </si>
  <si>
    <t>Equity Value Today</t>
  </si>
  <si>
    <t>Investor Assumptions</t>
  </si>
  <si>
    <t>Investor Calculation</t>
  </si>
  <si>
    <t>Equity Stake at Entry</t>
  </si>
  <si>
    <t xml:space="preserve">% Equity </t>
  </si>
  <si>
    <t>Company Equity Value</t>
  </si>
  <si>
    <t>Dilution Effect</t>
  </si>
  <si>
    <t>Equity Stake</t>
  </si>
  <si>
    <t>Equity Stake at Exit</t>
  </si>
  <si>
    <t>Investment</t>
  </si>
  <si>
    <t>Exit Proceeds</t>
  </si>
  <si>
    <t>Investor Cash Flows</t>
  </si>
  <si>
    <t xml:space="preserve">Investor IRR </t>
  </si>
  <si>
    <t>Cash on Cash Multiple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</si>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</sst>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\-mmm\-yy"/>
    <numFmt numFmtId="165" formatCode="&quot;Year &quot;#,##0"/>
    <numFmt numFmtId="166" formatCode="_(* #,##0_);_(* \(#,##0\);_(* &quot;-&quot;??_);_(@_)"/>
    <numFmt numFmtId="167" formatCode="_(* #,##0.0\x_);_(* \(#,##0.0\x\);_(* &quot;-&quot;?_);_(@_)"/>
    <numFmt numFmtId="168" formatCode="[$-409]d\-mmm\-yy"/>
    <numFmt numFmtId="169" formatCode="0.0\x"/>
    <numFmt numFmtId="170" formatCode="0.0%"/>
    <numFmt numFmtId="171" formatCode="_(* #,##0.0%_);_(* \(#,##0.0%\);_(* &quot;-&quot;??_);_(@_)"/>
  </numFmts>
  <fonts count="14" x14ac:knownFonts="1">
    <font>
      <sz val="11"/>
      <color theme="1"/>
      <name val="Calibri"/>
      <scheme val="minor"/>
    </font>
    <font>
      <sz val="10"/>
      <color rgb="FFFFFFFF"/>
      <name val="Lato"/>
    </font>
    <font>
      <b/>
      <sz val="15"/>
      <color rgb="FFFFFFFF"/>
      <name val="Lato"/>
    </font>
    <font>
      <b/>
      <sz val="10"/>
      <color rgb="FFFFFFFF"/>
      <name val="Lato"/>
    </font>
    <font>
      <sz val="10"/>
      <color theme="1"/>
      <name val="Lato"/>
    </font>
    <font>
      <b/>
      <sz val="10"/>
      <color theme="0"/>
      <name val="Lato"/>
    </font>
    <font>
      <b/>
      <i/>
      <sz val="10"/>
      <color theme="0"/>
      <name val="Lato"/>
    </font>
    <font>
      <b/>
      <sz val="11"/>
      <color theme="0"/>
      <name val="Lato"/>
    </font>
    <font>
      <sz val="11"/>
      <name val="Calibri"/>
      <family val="2"/>
    </font>
    <font>
      <i/>
      <sz val="10"/>
      <color theme="1"/>
      <name val="Lato"/>
    </font>
    <font>
      <b/>
      <sz val="10"/>
      <color theme="1"/>
      <name val="Lato"/>
    </font>
    <font>
      <b/>
      <sz val="10"/>
      <color rgb="FF0432FF"/>
      <name val="Lato"/>
    </font>
    <font>
      <i/>
      <sz val="10"/>
      <color theme="10"/>
      <name val="Lato"/>
    </font>
    <font>
      <u/>
      <sz val="10"/>
      <color theme="10"/>
      <name val="Lato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/>
    <xf numFmtId="0" fontId="6" fillId="3" borderId="1" xfId="0" applyFont="1" applyFill="1" applyBorder="1" applyAlignment="1">
      <alignment vertical="center"/>
    </xf>
    <xf numFmtId="1" fontId="6" fillId="3" borderId="1" xfId="0" applyNumberFormat="1" applyFont="1" applyFill="1" applyBorder="1" applyAlignment="1">
      <alignment horizontal="right"/>
    </xf>
    <xf numFmtId="0" fontId="7" fillId="3" borderId="1" xfId="0" applyFont="1" applyFill="1" applyBorder="1"/>
    <xf numFmtId="164" fontId="6" fillId="3" borderId="1" xfId="0" applyNumberFormat="1" applyFont="1" applyFill="1" applyBorder="1" applyAlignment="1">
      <alignment horizontal="right"/>
    </xf>
    <xf numFmtId="0" fontId="9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165" fontId="9" fillId="4" borderId="1" xfId="0" applyNumberFormat="1" applyFont="1" applyFill="1" applyBorder="1" applyAlignment="1">
      <alignment horizontal="right" vertical="center"/>
    </xf>
    <xf numFmtId="0" fontId="4" fillId="3" borderId="0" xfId="0" applyFont="1" applyFill="1"/>
    <xf numFmtId="0" fontId="10" fillId="3" borderId="0" xfId="0" applyFont="1" applyFill="1"/>
    <xf numFmtId="3" fontId="4" fillId="3" borderId="0" xfId="0" applyNumberFormat="1" applyFont="1" applyFill="1"/>
    <xf numFmtId="3" fontId="4" fillId="0" borderId="0" xfId="0" applyNumberFormat="1" applyFont="1"/>
    <xf numFmtId="0" fontId="10" fillId="0" borderId="0" xfId="0" applyFont="1"/>
    <xf numFmtId="0" fontId="11" fillId="5" borderId="4" xfId="0" applyFont="1" applyFill="1" applyBorder="1" applyAlignment="1">
      <alignment horizontal="center"/>
    </xf>
    <xf numFmtId="3" fontId="4" fillId="6" borderId="1" xfId="0" applyNumberFormat="1" applyFont="1" applyFill="1" applyBorder="1"/>
    <xf numFmtId="3" fontId="10" fillId="6" borderId="1" xfId="0" applyNumberFormat="1" applyFont="1" applyFill="1" applyBorder="1"/>
    <xf numFmtId="166" fontId="10" fillId="0" borderId="0" xfId="0" applyNumberFormat="1" applyFont="1"/>
    <xf numFmtId="0" fontId="4" fillId="6" borderId="5" xfId="0" applyFont="1" applyFill="1" applyBorder="1"/>
    <xf numFmtId="0" fontId="10" fillId="6" borderId="5" xfId="0" applyFont="1" applyFill="1" applyBorder="1"/>
    <xf numFmtId="167" fontId="4" fillId="6" borderId="5" xfId="0" applyNumberFormat="1" applyFont="1" applyFill="1" applyBorder="1"/>
    <xf numFmtId="167" fontId="4" fillId="0" borderId="0" xfId="0" applyNumberFormat="1" applyFont="1"/>
    <xf numFmtId="167" fontId="4" fillId="6" borderId="6" xfId="0" applyNumberFormat="1" applyFont="1" applyFill="1" applyBorder="1"/>
    <xf numFmtId="0" fontId="10" fillId="6" borderId="7" xfId="0" applyFont="1" applyFill="1" applyBorder="1"/>
    <xf numFmtId="3" fontId="10" fillId="6" borderId="7" xfId="0" applyNumberFormat="1" applyFont="1" applyFill="1" applyBorder="1"/>
    <xf numFmtId="166" fontId="10" fillId="6" borderId="7" xfId="0" applyNumberFormat="1" applyFont="1" applyFill="1" applyBorder="1"/>
    <xf numFmtId="166" fontId="10" fillId="0" borderId="8" xfId="0" applyNumberFormat="1" applyFont="1" applyBorder="1"/>
    <xf numFmtId="166" fontId="10" fillId="6" borderId="1" xfId="0" applyNumberFormat="1" applyFont="1" applyFill="1" applyBorder="1"/>
    <xf numFmtId="0" fontId="4" fillId="0" borderId="0" xfId="0" applyFont="1" applyAlignment="1">
      <alignment horizontal="left"/>
    </xf>
    <xf numFmtId="0" fontId="4" fillId="6" borderId="1" xfId="0" quotePrefix="1" applyFont="1" applyFill="1" applyBorder="1"/>
    <xf numFmtId="0" fontId="4" fillId="6" borderId="1" xfId="0" applyFont="1" applyFill="1" applyBorder="1"/>
    <xf numFmtId="0" fontId="10" fillId="6" borderId="1" xfId="0" applyFont="1" applyFill="1" applyBorder="1"/>
    <xf numFmtId="166" fontId="4" fillId="6" borderId="1" xfId="0" applyNumberFormat="1" applyFont="1" applyFill="1" applyBorder="1"/>
    <xf numFmtId="168" fontId="11" fillId="5" borderId="4" xfId="0" applyNumberFormat="1" applyFont="1" applyFill="1" applyBorder="1" applyAlignment="1">
      <alignment horizontal="center"/>
    </xf>
    <xf numFmtId="0" fontId="10" fillId="6" borderId="9" xfId="0" applyFont="1" applyFill="1" applyBorder="1"/>
    <xf numFmtId="166" fontId="10" fillId="6" borderId="9" xfId="0" applyNumberFormat="1" applyFont="1" applyFill="1" applyBorder="1"/>
    <xf numFmtId="166" fontId="10" fillId="0" borderId="10" xfId="0" applyNumberFormat="1" applyFont="1" applyBorder="1"/>
    <xf numFmtId="3" fontId="11" fillId="5" borderId="4" xfId="0" applyNumberFormat="1" applyFont="1" applyFill="1" applyBorder="1" applyAlignment="1">
      <alignment horizontal="center"/>
    </xf>
    <xf numFmtId="4" fontId="4" fillId="6" borderId="1" xfId="0" applyNumberFormat="1" applyFont="1" applyFill="1" applyBorder="1"/>
    <xf numFmtId="4" fontId="4" fillId="0" borderId="0" xfId="0" applyNumberFormat="1" applyFont="1"/>
    <xf numFmtId="169" fontId="11" fillId="5" borderId="4" xfId="0" applyNumberFormat="1" applyFont="1" applyFill="1" applyBorder="1" applyAlignment="1">
      <alignment horizontal="center"/>
    </xf>
    <xf numFmtId="170" fontId="4" fillId="6" borderId="1" xfId="0" applyNumberFormat="1" applyFont="1" applyFill="1" applyBorder="1"/>
    <xf numFmtId="170" fontId="4" fillId="0" borderId="0" xfId="0" applyNumberFormat="1" applyFont="1"/>
    <xf numFmtId="0" fontId="4" fillId="0" borderId="11" xfId="0" applyFont="1" applyBorder="1"/>
    <xf numFmtId="0" fontId="10" fillId="0" borderId="11" xfId="0" applyFont="1" applyBorder="1"/>
    <xf numFmtId="4" fontId="4" fillId="6" borderId="6" xfId="0" applyNumberFormat="1" applyFont="1" applyFill="1" applyBorder="1"/>
    <xf numFmtId="4" fontId="4" fillId="0" borderId="11" xfId="0" applyNumberFormat="1" applyFont="1" applyBorder="1"/>
    <xf numFmtId="2" fontId="4" fillId="0" borderId="0" xfId="0" applyNumberFormat="1" applyFont="1"/>
    <xf numFmtId="170" fontId="11" fillId="5" borderId="4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vertical="center"/>
    </xf>
    <xf numFmtId="0" fontId="10" fillId="4" borderId="1" xfId="0" applyFont="1" applyFill="1" applyBorder="1"/>
    <xf numFmtId="166" fontId="10" fillId="4" borderId="1" xfId="0" applyNumberFormat="1" applyFont="1" applyFill="1" applyBorder="1"/>
    <xf numFmtId="166" fontId="4" fillId="0" borderId="0" xfId="0" applyNumberFormat="1" applyFont="1"/>
    <xf numFmtId="0" fontId="5" fillId="3" borderId="12" xfId="0" applyFont="1" applyFill="1" applyBorder="1"/>
    <xf numFmtId="170" fontId="4" fillId="0" borderId="0" xfId="0" applyNumberFormat="1" applyFont="1" applyAlignment="1">
      <alignment horizontal="center"/>
    </xf>
    <xf numFmtId="171" fontId="10" fillId="0" borderId="0" xfId="0" applyNumberFormat="1" applyFont="1"/>
    <xf numFmtId="171" fontId="10" fillId="5" borderId="1" xfId="0" applyNumberFormat="1" applyFont="1" applyFill="1" applyBorder="1"/>
    <xf numFmtId="3" fontId="4" fillId="6" borderId="5" xfId="0" applyNumberFormat="1" applyFont="1" applyFill="1" applyBorder="1"/>
    <xf numFmtId="166" fontId="10" fillId="6" borderId="5" xfId="0" applyNumberFormat="1" applyFont="1" applyFill="1" applyBorder="1"/>
    <xf numFmtId="0" fontId="10" fillId="0" borderId="8" xfId="0" applyFont="1" applyBorder="1"/>
    <xf numFmtId="170" fontId="10" fillId="4" borderId="1" xfId="0" applyNumberFormat="1" applyFont="1" applyFill="1" applyBorder="1" applyAlignment="1">
      <alignment horizontal="right"/>
    </xf>
    <xf numFmtId="169" fontId="10" fillId="0" borderId="0" xfId="0" applyNumberFormat="1" applyFont="1" applyAlignment="1">
      <alignment horizontal="right"/>
    </xf>
    <xf numFmtId="0" fontId="9" fillId="0" borderId="0" xfId="0" applyFont="1"/>
    <xf numFmtId="0" fontId="12" fillId="0" borderId="0" xfId="0" applyFont="1"/>
    <xf numFmtId="0" fontId="13" fillId="0" borderId="0" xfId="0" applyFont="1"/>
    <xf numFmtId="0" fontId="6" fillId="3" borderId="2" xfId="0" applyFont="1" applyFill="1" applyBorder="1" applyAlignment="1">
      <alignment vertical="center"/>
    </xf>
    <xf numFmtId="0" fontId="8" fillId="0" borderId="3" xfId="0" applyFont="1" applyBorder="1"/>
  </cellXfs>
  <cellStyles count="1">
    <cellStyle name="Normal" xfId="0" builtinId="0"/>
  </cellStyles>
  <dxfs count="1">
    <dxf>
      <font>
        <b/>
      </font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97"/>
  <sheetViews>
    <sheetView showGridLines="0" tabSelected="1" zoomScale="62" workbookViewId="0">
      <selection activeCell="AB10" sqref="AB10"/>
    </sheetView>
  </sheetViews>
  <sheetFormatPr defaultColWidth="14.453125" defaultRowHeight="15" customHeight="1" x14ac:dyDescent="0.35"/>
  <cols>
    <col min="1" max="1" width="2.26953125" customWidth="1"/>
    <col min="2" max="2" width="22.54296875" customWidth="1"/>
    <col min="3" max="3" width="3.08984375" customWidth="1"/>
    <col min="4" max="4" width="11.08984375" customWidth="1"/>
    <col min="5" max="5" width="2.453125" customWidth="1"/>
    <col min="6" max="6" width="11.7265625" customWidth="1"/>
    <col min="7" max="7" width="1.7265625" customWidth="1"/>
    <col min="8" max="17" width="11.7265625" customWidth="1"/>
    <col min="18" max="18" width="12.81640625" customWidth="1"/>
    <col min="19" max="21" width="11.7265625" hidden="1" customWidth="1"/>
    <col min="22" max="22" width="1.7265625" customWidth="1"/>
    <col min="23" max="24" width="0.81640625" customWidth="1"/>
  </cols>
  <sheetData>
    <row r="1" spans="1:24" ht="15.5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3" x14ac:dyDescent="0.65">
      <c r="A2" s="1"/>
      <c r="B2" s="2" t="s">
        <v>0</v>
      </c>
      <c r="C2" s="1"/>
      <c r="D2" s="1"/>
      <c r="E2" s="1"/>
      <c r="F2" s="1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1"/>
      <c r="X2" s="1"/>
    </row>
    <row r="3" spans="1:24" ht="15.5" x14ac:dyDescent="0.4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5" x14ac:dyDescent="0.45">
      <c r="A4" s="4"/>
      <c r="B4" s="5"/>
      <c r="C4" s="5"/>
      <c r="D4" s="5"/>
      <c r="E4" s="5"/>
      <c r="F4" s="5"/>
      <c r="G4" s="5"/>
      <c r="H4" s="6"/>
      <c r="I4" s="6"/>
      <c r="J4" s="6"/>
      <c r="K4" s="7"/>
      <c r="L4" s="7"/>
      <c r="M4" s="7"/>
      <c r="N4" s="7"/>
      <c r="O4" s="7"/>
      <c r="P4" s="7"/>
      <c r="Q4" s="7"/>
      <c r="R4" s="7"/>
      <c r="S4" s="7">
        <f t="shared" ref="S4:U4" si="0">YEAR(S5)</f>
        <v>1905</v>
      </c>
      <c r="T4" s="7">
        <f t="shared" si="0"/>
        <v>1905</v>
      </c>
      <c r="U4" s="7">
        <f t="shared" si="0"/>
        <v>1905</v>
      </c>
      <c r="V4" s="7"/>
      <c r="W4" s="4"/>
      <c r="X4" s="4"/>
    </row>
    <row r="5" spans="1:24" ht="18" x14ac:dyDescent="0.55000000000000004">
      <c r="A5" s="4"/>
      <c r="B5" s="8" t="s">
        <v>1</v>
      </c>
      <c r="C5" s="69"/>
      <c r="D5" s="70"/>
      <c r="E5" s="70"/>
      <c r="F5" s="70"/>
      <c r="G5" s="5"/>
      <c r="H5" s="6" t="s">
        <v>2</v>
      </c>
      <c r="I5" s="6"/>
      <c r="J5" s="6" t="s">
        <v>3</v>
      </c>
      <c r="K5" s="7">
        <f t="shared" ref="K5:U5" si="1">YEAR(K6)</f>
        <v>2023</v>
      </c>
      <c r="L5" s="7">
        <f t="shared" si="1"/>
        <v>2024</v>
      </c>
      <c r="M5" s="7">
        <f t="shared" si="1"/>
        <v>2025</v>
      </c>
      <c r="N5" s="7">
        <f t="shared" si="1"/>
        <v>2026</v>
      </c>
      <c r="O5" s="7">
        <f t="shared" si="1"/>
        <v>2027</v>
      </c>
      <c r="P5" s="7">
        <f t="shared" si="1"/>
        <v>2028</v>
      </c>
      <c r="Q5" s="7">
        <f t="shared" si="1"/>
        <v>2029</v>
      </c>
      <c r="R5" s="7">
        <f t="shared" si="1"/>
        <v>2030</v>
      </c>
      <c r="S5" s="7">
        <f t="shared" si="1"/>
        <v>2031</v>
      </c>
      <c r="T5" s="7">
        <f t="shared" si="1"/>
        <v>2032</v>
      </c>
      <c r="U5" s="7">
        <f t="shared" si="1"/>
        <v>2033</v>
      </c>
      <c r="V5" s="7"/>
      <c r="W5" s="4"/>
      <c r="X5" s="4"/>
    </row>
    <row r="6" spans="1:24" ht="15.5" x14ac:dyDescent="0.45">
      <c r="A6" s="4"/>
      <c r="B6" s="5"/>
      <c r="C6" s="5"/>
      <c r="D6" s="5"/>
      <c r="E6" s="5"/>
      <c r="F6" s="5"/>
      <c r="G6" s="5"/>
      <c r="H6" s="6" t="s">
        <v>4</v>
      </c>
      <c r="I6" s="6"/>
      <c r="J6" s="6"/>
      <c r="K6" s="9">
        <f>F14</f>
        <v>45291</v>
      </c>
      <c r="L6" s="9">
        <f t="shared" ref="L6:U6" si="2">EDATE(K6,12)</f>
        <v>45657</v>
      </c>
      <c r="M6" s="9">
        <f t="shared" si="2"/>
        <v>46022</v>
      </c>
      <c r="N6" s="9">
        <f t="shared" si="2"/>
        <v>46387</v>
      </c>
      <c r="O6" s="9">
        <f t="shared" si="2"/>
        <v>46752</v>
      </c>
      <c r="P6" s="9">
        <f t="shared" si="2"/>
        <v>47118</v>
      </c>
      <c r="Q6" s="9">
        <f t="shared" si="2"/>
        <v>47483</v>
      </c>
      <c r="R6" s="9">
        <f t="shared" si="2"/>
        <v>47848</v>
      </c>
      <c r="S6" s="9">
        <f t="shared" si="2"/>
        <v>48213</v>
      </c>
      <c r="T6" s="9">
        <f t="shared" si="2"/>
        <v>48579</v>
      </c>
      <c r="U6" s="9">
        <f t="shared" si="2"/>
        <v>48944</v>
      </c>
      <c r="V6" s="9"/>
      <c r="W6" s="4"/>
      <c r="X6" s="4"/>
    </row>
    <row r="7" spans="1:24" ht="15.5" x14ac:dyDescent="0.45">
      <c r="A7" s="4"/>
      <c r="B7" s="10"/>
      <c r="C7" s="10"/>
      <c r="D7" s="10"/>
      <c r="E7" s="10"/>
      <c r="F7" s="10"/>
      <c r="G7" s="10"/>
      <c r="H7" s="10" t="s">
        <v>5</v>
      </c>
      <c r="I7" s="10"/>
      <c r="J7" s="11"/>
      <c r="K7" s="12">
        <v>0</v>
      </c>
      <c r="L7" s="12">
        <v>1</v>
      </c>
      <c r="M7" s="12">
        <f t="shared" ref="M7:U7" si="3">L7+1</f>
        <v>2</v>
      </c>
      <c r="N7" s="12">
        <f t="shared" si="3"/>
        <v>3</v>
      </c>
      <c r="O7" s="12">
        <f t="shared" si="3"/>
        <v>4</v>
      </c>
      <c r="P7" s="12">
        <f t="shared" si="3"/>
        <v>5</v>
      </c>
      <c r="Q7" s="12">
        <f t="shared" si="3"/>
        <v>6</v>
      </c>
      <c r="R7" s="12">
        <f t="shared" si="3"/>
        <v>7</v>
      </c>
      <c r="S7" s="12">
        <f t="shared" si="3"/>
        <v>8</v>
      </c>
      <c r="T7" s="12">
        <f t="shared" si="3"/>
        <v>9</v>
      </c>
      <c r="U7" s="12">
        <f t="shared" si="3"/>
        <v>10</v>
      </c>
      <c r="V7" s="12"/>
      <c r="W7" s="4"/>
      <c r="X7" s="4"/>
    </row>
    <row r="8" spans="1:24" ht="15.5" x14ac:dyDescent="0.4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5" x14ac:dyDescent="0.45">
      <c r="A9" s="4"/>
      <c r="B9" s="5" t="s">
        <v>6</v>
      </c>
      <c r="C9" s="13"/>
      <c r="D9" s="13"/>
      <c r="E9" s="13"/>
      <c r="F9" s="13"/>
      <c r="G9" s="4"/>
      <c r="H9" s="5" t="s">
        <v>7</v>
      </c>
      <c r="I9" s="5"/>
      <c r="J9" s="14"/>
      <c r="K9" s="14"/>
      <c r="L9" s="15"/>
      <c r="M9" s="15"/>
      <c r="N9" s="15"/>
      <c r="O9" s="15"/>
      <c r="P9" s="15"/>
      <c r="Q9" s="15"/>
      <c r="R9" s="15"/>
      <c r="S9" s="16"/>
      <c r="T9" s="16"/>
      <c r="U9" s="16"/>
      <c r="V9" s="4"/>
      <c r="W9" s="4"/>
      <c r="X9" s="4"/>
    </row>
    <row r="10" spans="1:24" ht="15.5" x14ac:dyDescent="0.45">
      <c r="A10" s="4"/>
      <c r="B10" s="17" t="s">
        <v>8</v>
      </c>
      <c r="C10" s="4"/>
      <c r="D10" s="4" t="s">
        <v>9</v>
      </c>
      <c r="E10" s="4"/>
      <c r="F10" s="18">
        <v>1</v>
      </c>
      <c r="G10" s="4"/>
      <c r="H10" s="19" t="s">
        <v>10</v>
      </c>
      <c r="I10" s="19"/>
      <c r="J10" s="19" t="str">
        <f>IF(ISBLANK($F$13),"",$F$13)</f>
        <v>USD</v>
      </c>
      <c r="K10" s="20"/>
      <c r="L10" s="21">
        <f t="shared" ref="L10:U10" si="4">IF(L$7=$F$15,$F$16,0)</f>
        <v>0</v>
      </c>
      <c r="M10" s="21">
        <f t="shared" si="4"/>
        <v>0</v>
      </c>
      <c r="N10" s="21">
        <f t="shared" si="4"/>
        <v>0</v>
      </c>
      <c r="O10" s="21">
        <f t="shared" si="4"/>
        <v>0</v>
      </c>
      <c r="P10" s="21">
        <f t="shared" si="4"/>
        <v>0</v>
      </c>
      <c r="Q10" s="21">
        <f t="shared" si="4"/>
        <v>0</v>
      </c>
      <c r="R10" s="21">
        <f t="shared" si="4"/>
        <v>10000000</v>
      </c>
      <c r="S10" s="21">
        <f t="shared" si="4"/>
        <v>0</v>
      </c>
      <c r="T10" s="21">
        <f t="shared" si="4"/>
        <v>0</v>
      </c>
      <c r="U10" s="21">
        <f t="shared" si="4"/>
        <v>0</v>
      </c>
      <c r="V10" s="4"/>
      <c r="W10" s="4"/>
      <c r="X10" s="4"/>
    </row>
    <row r="11" spans="1:24" ht="15.5" x14ac:dyDescent="0.45">
      <c r="A11" s="4"/>
      <c r="B11" s="4"/>
      <c r="C11" s="4"/>
      <c r="D11" s="4"/>
      <c r="E11" s="4"/>
      <c r="F11" s="4"/>
      <c r="G11" s="4"/>
      <c r="H11" s="22" t="str">
        <f>B17</f>
        <v>EV/Revenue Multiple</v>
      </c>
      <c r="I11" s="22"/>
      <c r="J11" s="22" t="s">
        <v>11</v>
      </c>
      <c r="K11" s="23"/>
      <c r="L11" s="24">
        <f t="shared" ref="L11:U11" si="5">IF(L$7=$F$15,$F$17,0)</f>
        <v>0</v>
      </c>
      <c r="M11" s="24">
        <f t="shared" si="5"/>
        <v>0</v>
      </c>
      <c r="N11" s="24">
        <f t="shared" si="5"/>
        <v>0</v>
      </c>
      <c r="O11" s="24">
        <f t="shared" si="5"/>
        <v>0</v>
      </c>
      <c r="P11" s="24">
        <f t="shared" si="5"/>
        <v>0</v>
      </c>
      <c r="Q11" s="24">
        <f t="shared" si="5"/>
        <v>0</v>
      </c>
      <c r="R11" s="25">
        <f t="shared" si="5"/>
        <v>10</v>
      </c>
      <c r="S11" s="26">
        <f t="shared" si="5"/>
        <v>0</v>
      </c>
      <c r="T11" s="26">
        <f t="shared" si="5"/>
        <v>0</v>
      </c>
      <c r="U11" s="26">
        <f t="shared" si="5"/>
        <v>0</v>
      </c>
      <c r="V11" s="4"/>
      <c r="W11" s="4"/>
      <c r="X11" s="4"/>
    </row>
    <row r="12" spans="1:24" ht="15.5" x14ac:dyDescent="0.45">
      <c r="A12" s="4"/>
      <c r="B12" s="17" t="s">
        <v>12</v>
      </c>
      <c r="C12" s="4"/>
      <c r="D12" s="4"/>
      <c r="E12" s="4"/>
      <c r="F12" s="4"/>
      <c r="G12" s="4"/>
      <c r="H12" s="27" t="s">
        <v>13</v>
      </c>
      <c r="I12" s="27"/>
      <c r="J12" s="28" t="str">
        <f t="shared" ref="J12:J15" si="6">IF(ISBLANK($F$13),"",$F$13)</f>
        <v>USD</v>
      </c>
      <c r="K12" s="27"/>
      <c r="L12" s="29">
        <f t="shared" ref="L12:U12" si="7">L10*L11</f>
        <v>0</v>
      </c>
      <c r="M12" s="29">
        <f t="shared" si="7"/>
        <v>0</v>
      </c>
      <c r="N12" s="29">
        <f t="shared" si="7"/>
        <v>0</v>
      </c>
      <c r="O12" s="29">
        <f t="shared" si="7"/>
        <v>0</v>
      </c>
      <c r="P12" s="29">
        <f t="shared" si="7"/>
        <v>0</v>
      </c>
      <c r="Q12" s="29">
        <f t="shared" si="7"/>
        <v>0</v>
      </c>
      <c r="R12" s="30">
        <f t="shared" si="7"/>
        <v>100000000</v>
      </c>
      <c r="S12" s="31">
        <f t="shared" si="7"/>
        <v>0</v>
      </c>
      <c r="T12" s="31">
        <f t="shared" si="7"/>
        <v>0</v>
      </c>
      <c r="U12" s="31">
        <f t="shared" si="7"/>
        <v>0</v>
      </c>
      <c r="V12" s="4"/>
      <c r="W12" s="4"/>
      <c r="X12" s="4"/>
    </row>
    <row r="13" spans="1:24" ht="15.5" x14ac:dyDescent="0.45">
      <c r="A13" s="4"/>
      <c r="B13" s="32" t="s">
        <v>14</v>
      </c>
      <c r="C13" s="32"/>
      <c r="D13" s="32"/>
      <c r="E13" s="32"/>
      <c r="F13" s="18" t="s">
        <v>15</v>
      </c>
      <c r="G13" s="4"/>
      <c r="H13" s="33" t="s">
        <v>16</v>
      </c>
      <c r="I13" s="34"/>
      <c r="J13" s="19" t="str">
        <f t="shared" si="6"/>
        <v>USD</v>
      </c>
      <c r="K13" s="35"/>
      <c r="L13" s="36">
        <f t="shared" ref="L13:U13" si="8">IF(L$7=$F$15,-$F18,0)</f>
        <v>0</v>
      </c>
      <c r="M13" s="36">
        <f t="shared" si="8"/>
        <v>0</v>
      </c>
      <c r="N13" s="36">
        <f t="shared" si="8"/>
        <v>0</v>
      </c>
      <c r="O13" s="36">
        <f t="shared" si="8"/>
        <v>0</v>
      </c>
      <c r="P13" s="36">
        <f t="shared" si="8"/>
        <v>0</v>
      </c>
      <c r="Q13" s="36">
        <f t="shared" si="8"/>
        <v>0</v>
      </c>
      <c r="R13" s="36">
        <f t="shared" si="8"/>
        <v>0</v>
      </c>
      <c r="S13" s="36">
        <f t="shared" si="8"/>
        <v>0</v>
      </c>
      <c r="T13" s="36">
        <f t="shared" si="8"/>
        <v>0</v>
      </c>
      <c r="U13" s="36">
        <f t="shared" si="8"/>
        <v>0</v>
      </c>
      <c r="V13" s="4"/>
      <c r="W13" s="4"/>
      <c r="X13" s="4"/>
    </row>
    <row r="14" spans="1:24" ht="15.5" x14ac:dyDescent="0.45">
      <c r="A14" s="4"/>
      <c r="B14" s="4" t="s">
        <v>17</v>
      </c>
      <c r="C14" s="4"/>
      <c r="D14" s="4" t="s">
        <v>18</v>
      </c>
      <c r="E14" s="4"/>
      <c r="F14" s="37">
        <v>45291</v>
      </c>
      <c r="G14" s="4"/>
      <c r="H14" s="33" t="s">
        <v>19</v>
      </c>
      <c r="I14" s="34"/>
      <c r="J14" s="19" t="str">
        <f t="shared" si="6"/>
        <v>USD</v>
      </c>
      <c r="K14" s="35"/>
      <c r="L14" s="36">
        <f t="shared" ref="L14:U14" si="9">IF(L$7=$F$15,$F19,0)</f>
        <v>0</v>
      </c>
      <c r="M14" s="36">
        <f t="shared" si="9"/>
        <v>0</v>
      </c>
      <c r="N14" s="36">
        <f t="shared" si="9"/>
        <v>0</v>
      </c>
      <c r="O14" s="36">
        <f t="shared" si="9"/>
        <v>0</v>
      </c>
      <c r="P14" s="36">
        <f t="shared" si="9"/>
        <v>0</v>
      </c>
      <c r="Q14" s="36">
        <f t="shared" si="9"/>
        <v>0</v>
      </c>
      <c r="R14" s="36">
        <f t="shared" si="9"/>
        <v>0</v>
      </c>
      <c r="S14" s="36">
        <f t="shared" si="9"/>
        <v>0</v>
      </c>
      <c r="T14" s="36">
        <f t="shared" si="9"/>
        <v>0</v>
      </c>
      <c r="U14" s="36">
        <f t="shared" si="9"/>
        <v>0</v>
      </c>
      <c r="V14" s="4"/>
      <c r="W14" s="4"/>
      <c r="X14" s="4"/>
    </row>
    <row r="15" spans="1:24" ht="15.5" x14ac:dyDescent="0.45">
      <c r="A15" s="4"/>
      <c r="B15" s="4" t="s">
        <v>20</v>
      </c>
      <c r="C15" s="4"/>
      <c r="D15" s="4" t="s">
        <v>21</v>
      </c>
      <c r="E15" s="4"/>
      <c r="F15" s="18">
        <v>7</v>
      </c>
      <c r="G15" s="4"/>
      <c r="H15" s="38" t="s">
        <v>22</v>
      </c>
      <c r="I15" s="38"/>
      <c r="J15" s="38" t="str">
        <f t="shared" si="6"/>
        <v>USD</v>
      </c>
      <c r="K15" s="38"/>
      <c r="L15" s="39">
        <f t="shared" ref="L15:U15" si="10">SUM(L12:L14)</f>
        <v>0</v>
      </c>
      <c r="M15" s="39">
        <f t="shared" si="10"/>
        <v>0</v>
      </c>
      <c r="N15" s="39">
        <f t="shared" si="10"/>
        <v>0</v>
      </c>
      <c r="O15" s="39">
        <f t="shared" si="10"/>
        <v>0</v>
      </c>
      <c r="P15" s="39">
        <f t="shared" si="10"/>
        <v>0</v>
      </c>
      <c r="Q15" s="39">
        <f t="shared" si="10"/>
        <v>0</v>
      </c>
      <c r="R15" s="40">
        <f t="shared" si="10"/>
        <v>100000000</v>
      </c>
      <c r="S15" s="39">
        <f t="shared" si="10"/>
        <v>0</v>
      </c>
      <c r="T15" s="39">
        <f t="shared" si="10"/>
        <v>0</v>
      </c>
      <c r="U15" s="39">
        <f t="shared" si="10"/>
        <v>0</v>
      </c>
      <c r="V15" s="4"/>
      <c r="W15" s="4"/>
      <c r="X15" s="4"/>
    </row>
    <row r="16" spans="1:24" ht="15.5" x14ac:dyDescent="0.45">
      <c r="A16" s="4"/>
      <c r="B16" s="4" t="str">
        <f>"Revenue in Year "&amp;$F$15</f>
        <v>Revenue in Year 7</v>
      </c>
      <c r="C16" s="4"/>
      <c r="D16" s="34" t="str">
        <f>IF(ISBLANK($F$13),"",$F$13)</f>
        <v>USD</v>
      </c>
      <c r="E16" s="4"/>
      <c r="F16" s="41">
        <v>10000000</v>
      </c>
      <c r="G16" s="4"/>
      <c r="H16" s="4" t="s">
        <v>23</v>
      </c>
      <c r="I16" s="4"/>
      <c r="J16" s="4" t="s">
        <v>24</v>
      </c>
      <c r="K16" s="17"/>
      <c r="L16" s="42">
        <f>IFERROR(ROUND((L6-F14)/365,1),0)</f>
        <v>1</v>
      </c>
      <c r="M16" s="42">
        <f t="shared" ref="M16:U16" si="11">IFERROR(ROUND((M6-L6)/365,1)+L16,0)</f>
        <v>2</v>
      </c>
      <c r="N16" s="42">
        <f t="shared" si="11"/>
        <v>3</v>
      </c>
      <c r="O16" s="42">
        <f t="shared" si="11"/>
        <v>4</v>
      </c>
      <c r="P16" s="42">
        <f t="shared" si="11"/>
        <v>5</v>
      </c>
      <c r="Q16" s="42">
        <f t="shared" si="11"/>
        <v>6</v>
      </c>
      <c r="R16" s="43">
        <f t="shared" si="11"/>
        <v>7</v>
      </c>
      <c r="S16" s="42">
        <f t="shared" si="11"/>
        <v>8</v>
      </c>
      <c r="T16" s="42">
        <f t="shared" si="11"/>
        <v>9</v>
      </c>
      <c r="U16" s="42">
        <f t="shared" si="11"/>
        <v>10</v>
      </c>
      <c r="V16" s="4"/>
      <c r="W16" s="4"/>
      <c r="X16" s="4"/>
    </row>
    <row r="17" spans="1:24" ht="15.5" x14ac:dyDescent="0.45">
      <c r="A17" s="4"/>
      <c r="B17" s="4" t="s">
        <v>25</v>
      </c>
      <c r="C17" s="4"/>
      <c r="D17" s="4" t="s">
        <v>11</v>
      </c>
      <c r="E17" s="4"/>
      <c r="F17" s="44">
        <v>10</v>
      </c>
      <c r="G17" s="4"/>
      <c r="H17" s="4" t="s">
        <v>26</v>
      </c>
      <c r="I17" s="4"/>
      <c r="J17" s="4" t="s">
        <v>27</v>
      </c>
      <c r="K17" s="17"/>
      <c r="L17" s="45">
        <f t="shared" ref="L17:U17" si="12">$F20</f>
        <v>0.25</v>
      </c>
      <c r="M17" s="45">
        <f t="shared" si="12"/>
        <v>0.25</v>
      </c>
      <c r="N17" s="45">
        <f t="shared" si="12"/>
        <v>0.25</v>
      </c>
      <c r="O17" s="45">
        <f t="shared" si="12"/>
        <v>0.25</v>
      </c>
      <c r="P17" s="45">
        <f t="shared" si="12"/>
        <v>0.25</v>
      </c>
      <c r="Q17" s="45">
        <f t="shared" si="12"/>
        <v>0.25</v>
      </c>
      <c r="R17" s="46">
        <f t="shared" si="12"/>
        <v>0.25</v>
      </c>
      <c r="S17" s="45">
        <f t="shared" si="12"/>
        <v>0.25</v>
      </c>
      <c r="T17" s="45">
        <f t="shared" si="12"/>
        <v>0.25</v>
      </c>
      <c r="U17" s="45">
        <f t="shared" si="12"/>
        <v>0.25</v>
      </c>
      <c r="V17" s="4"/>
      <c r="W17" s="4"/>
      <c r="X17" s="4"/>
    </row>
    <row r="18" spans="1:24" ht="15.75" customHeight="1" x14ac:dyDescent="0.45">
      <c r="A18" s="4"/>
      <c r="B18" s="4" t="str">
        <f>"Financial Debt in Year "&amp;$F$15</f>
        <v>Financial Debt in Year 7</v>
      </c>
      <c r="C18" s="4"/>
      <c r="D18" s="34" t="str">
        <f t="shared" ref="D18:D19" si="13">IF(ISBLANK($F$13),"",$F$13)</f>
        <v>USD</v>
      </c>
      <c r="E18" s="4"/>
      <c r="F18" s="41">
        <v>0</v>
      </c>
      <c r="G18" s="4"/>
      <c r="H18" s="47" t="s">
        <v>28</v>
      </c>
      <c r="I18" s="47"/>
      <c r="J18" s="47" t="s">
        <v>11</v>
      </c>
      <c r="K18" s="48"/>
      <c r="L18" s="49">
        <f t="shared" ref="L18:U18" si="14">IFERROR(1/(1+L17)^L16,0)</f>
        <v>0.8</v>
      </c>
      <c r="M18" s="49">
        <f t="shared" si="14"/>
        <v>0.64</v>
      </c>
      <c r="N18" s="49">
        <f t="shared" si="14"/>
        <v>0.51200000000000001</v>
      </c>
      <c r="O18" s="49">
        <f t="shared" si="14"/>
        <v>0.40960000000000002</v>
      </c>
      <c r="P18" s="49">
        <f t="shared" si="14"/>
        <v>0.32768000000000003</v>
      </c>
      <c r="Q18" s="49">
        <f t="shared" si="14"/>
        <v>0.26214399999999999</v>
      </c>
      <c r="R18" s="50">
        <f t="shared" si="14"/>
        <v>0.20971519999999999</v>
      </c>
      <c r="S18" s="49">
        <f t="shared" si="14"/>
        <v>0.16777216</v>
      </c>
      <c r="T18" s="49">
        <f t="shared" si="14"/>
        <v>0.13421772800000001</v>
      </c>
      <c r="U18" s="49">
        <f t="shared" si="14"/>
        <v>0.1073741824</v>
      </c>
      <c r="V18" s="51"/>
      <c r="W18" s="4"/>
      <c r="X18" s="4"/>
    </row>
    <row r="19" spans="1:24" ht="15.75" customHeight="1" x14ac:dyDescent="0.45">
      <c r="A19" s="4"/>
      <c r="B19" s="4" t="str">
        <f>"Cash in Year "&amp;$F$15</f>
        <v>Cash in Year 7</v>
      </c>
      <c r="C19" s="4"/>
      <c r="D19" s="34" t="str">
        <f t="shared" si="13"/>
        <v>USD</v>
      </c>
      <c r="E19" s="4"/>
      <c r="F19" s="41">
        <v>0</v>
      </c>
      <c r="G19" s="4"/>
      <c r="H19" s="35" t="s">
        <v>29</v>
      </c>
      <c r="I19" s="35"/>
      <c r="J19" s="35" t="str">
        <f t="shared" ref="J19:J20" si="15">IF(ISBLANK($F$13),"",$F$13)</f>
        <v>USD</v>
      </c>
      <c r="K19" s="35"/>
      <c r="L19" s="31">
        <f t="shared" ref="L19:U19" si="16">IFERROR(L15*L18,"")</f>
        <v>0</v>
      </c>
      <c r="M19" s="31">
        <f t="shared" si="16"/>
        <v>0</v>
      </c>
      <c r="N19" s="31">
        <f t="shared" si="16"/>
        <v>0</v>
      </c>
      <c r="O19" s="31">
        <f t="shared" si="16"/>
        <v>0</v>
      </c>
      <c r="P19" s="31">
        <f t="shared" si="16"/>
        <v>0</v>
      </c>
      <c r="Q19" s="31">
        <f t="shared" si="16"/>
        <v>0</v>
      </c>
      <c r="R19" s="21">
        <f t="shared" si="16"/>
        <v>20971520</v>
      </c>
      <c r="S19" s="31">
        <f t="shared" si="16"/>
        <v>0</v>
      </c>
      <c r="T19" s="31">
        <f t="shared" si="16"/>
        <v>0</v>
      </c>
      <c r="U19" s="31">
        <f t="shared" si="16"/>
        <v>0</v>
      </c>
      <c r="V19" s="4"/>
      <c r="W19" s="4"/>
      <c r="X19" s="4"/>
    </row>
    <row r="20" spans="1:24" ht="15.75" customHeight="1" x14ac:dyDescent="0.45">
      <c r="A20" s="4"/>
      <c r="B20" s="4" t="s">
        <v>30</v>
      </c>
      <c r="C20" s="4"/>
      <c r="D20" s="4" t="s">
        <v>27</v>
      </c>
      <c r="E20" s="4"/>
      <c r="F20" s="52">
        <v>0.25</v>
      </c>
      <c r="G20" s="4"/>
      <c r="H20" s="53" t="s">
        <v>31</v>
      </c>
      <c r="I20" s="53"/>
      <c r="J20" s="54" t="str">
        <f t="shared" si="15"/>
        <v>USD</v>
      </c>
      <c r="K20" s="55">
        <f>SUM(L19:U19)</f>
        <v>20971520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17"/>
      <c r="W20" s="4"/>
      <c r="X20" s="4"/>
    </row>
    <row r="21" spans="1:24" ht="15.75" customHeight="1" x14ac:dyDescent="0.4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56"/>
      <c r="N21" s="56"/>
      <c r="O21" s="56"/>
      <c r="P21" s="56"/>
      <c r="Q21" s="56"/>
      <c r="R21" s="56"/>
      <c r="S21" s="56"/>
      <c r="T21" s="56"/>
      <c r="U21" s="56"/>
      <c r="V21" s="4"/>
      <c r="W21" s="4"/>
      <c r="X21" s="4"/>
    </row>
    <row r="22" spans="1:24" ht="15.75" customHeight="1" x14ac:dyDescent="0.4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7"/>
      <c r="T22" s="47"/>
      <c r="U22" s="47"/>
      <c r="V22" s="4"/>
      <c r="W22" s="4"/>
      <c r="X22" s="4"/>
    </row>
    <row r="23" spans="1:24" ht="15.75" customHeight="1" x14ac:dyDescent="0.4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45">
      <c r="A24" s="4"/>
      <c r="B24" s="57" t="s">
        <v>32</v>
      </c>
      <c r="C24" s="13"/>
      <c r="D24" s="13"/>
      <c r="E24" s="13"/>
      <c r="F24" s="13"/>
      <c r="G24" s="4"/>
      <c r="H24" s="57" t="s">
        <v>33</v>
      </c>
      <c r="I24" s="57"/>
      <c r="J24" s="14"/>
      <c r="K24" s="13"/>
      <c r="L24" s="13"/>
      <c r="M24" s="13"/>
      <c r="N24" s="13"/>
      <c r="O24" s="13"/>
      <c r="P24" s="13"/>
      <c r="Q24" s="13"/>
      <c r="R24" s="13"/>
      <c r="S24" s="4"/>
      <c r="T24" s="4"/>
      <c r="U24" s="4"/>
      <c r="V24" s="4"/>
      <c r="W24" s="4"/>
      <c r="X24" s="4"/>
    </row>
    <row r="25" spans="1:24" ht="15.75" customHeight="1" x14ac:dyDescent="0.45">
      <c r="A25" s="4"/>
      <c r="B25" s="4" t="s">
        <v>34</v>
      </c>
      <c r="C25" s="4"/>
      <c r="D25" s="4" t="s">
        <v>35</v>
      </c>
      <c r="E25" s="4"/>
      <c r="F25" s="52">
        <v>0.1</v>
      </c>
      <c r="G25" s="4"/>
      <c r="H25" s="17" t="s">
        <v>36</v>
      </c>
      <c r="I25" s="17"/>
      <c r="J25" s="20" t="str">
        <f>IF(ISBLANK($F$13),"",$F$13)</f>
        <v>USD</v>
      </c>
      <c r="K25" s="31">
        <f t="shared" ref="K25:U25" si="17">K15</f>
        <v>0</v>
      </c>
      <c r="L25" s="31">
        <f t="shared" si="17"/>
        <v>0</v>
      </c>
      <c r="M25" s="31">
        <f t="shared" si="17"/>
        <v>0</v>
      </c>
      <c r="N25" s="31">
        <f t="shared" si="17"/>
        <v>0</v>
      </c>
      <c r="O25" s="31">
        <f t="shared" si="17"/>
        <v>0</v>
      </c>
      <c r="P25" s="31">
        <f t="shared" si="17"/>
        <v>0</v>
      </c>
      <c r="Q25" s="21">
        <f t="shared" si="17"/>
        <v>0</v>
      </c>
      <c r="R25" s="31">
        <f t="shared" si="17"/>
        <v>100000000</v>
      </c>
      <c r="S25" s="31">
        <f t="shared" si="17"/>
        <v>0</v>
      </c>
      <c r="T25" s="31">
        <f t="shared" si="17"/>
        <v>0</v>
      </c>
      <c r="U25" s="31">
        <f t="shared" si="17"/>
        <v>0</v>
      </c>
      <c r="V25" s="4"/>
      <c r="W25" s="4"/>
      <c r="X25" s="4"/>
    </row>
    <row r="26" spans="1:24" ht="15.75" customHeight="1" x14ac:dyDescent="0.45">
      <c r="A26" s="4"/>
      <c r="B26" s="4" t="s">
        <v>37</v>
      </c>
      <c r="C26" s="4"/>
      <c r="D26" s="4" t="s">
        <v>35</v>
      </c>
      <c r="E26" s="4"/>
      <c r="F26" s="58">
        <f>F27-F25</f>
        <v>0</v>
      </c>
      <c r="G26" s="4"/>
      <c r="H26" s="17" t="s">
        <v>38</v>
      </c>
      <c r="I26" s="17"/>
      <c r="J26" s="17" t="s">
        <v>27</v>
      </c>
      <c r="K26" s="59">
        <f>$F25</f>
        <v>0.1</v>
      </c>
      <c r="L26" s="59">
        <f t="shared" ref="L26:N26" si="18">K26</f>
        <v>0.1</v>
      </c>
      <c r="M26" s="59">
        <f t="shared" si="18"/>
        <v>0.1</v>
      </c>
      <c r="N26" s="59">
        <f t="shared" si="18"/>
        <v>0.1</v>
      </c>
      <c r="O26" s="60">
        <f>$F27</f>
        <v>0.1</v>
      </c>
      <c r="P26" s="59">
        <f t="shared" ref="P26:R26" si="19">IF(P$7&lt;=$F$15,$F$27,0)</f>
        <v>0.1</v>
      </c>
      <c r="Q26" s="59">
        <f t="shared" si="19"/>
        <v>0.1</v>
      </c>
      <c r="R26" s="59">
        <f t="shared" si="19"/>
        <v>0.1</v>
      </c>
      <c r="S26" s="59">
        <f t="shared" ref="S26:U26" si="20">IF(S$7=$F$15,$F$27,0)</f>
        <v>0</v>
      </c>
      <c r="T26" s="59">
        <f t="shared" si="20"/>
        <v>0</v>
      </c>
      <c r="U26" s="59">
        <f t="shared" si="20"/>
        <v>0</v>
      </c>
      <c r="V26" s="4"/>
      <c r="W26" s="4"/>
      <c r="X26" s="4"/>
    </row>
    <row r="27" spans="1:24" ht="15.75" customHeight="1" x14ac:dyDescent="0.45">
      <c r="A27" s="4"/>
      <c r="B27" s="4" t="s">
        <v>39</v>
      </c>
      <c r="C27" s="4"/>
      <c r="D27" s="4" t="s">
        <v>35</v>
      </c>
      <c r="E27" s="4"/>
      <c r="F27" s="52">
        <v>0.1</v>
      </c>
      <c r="G27" s="4"/>
      <c r="H27" s="4"/>
      <c r="I27" s="4"/>
      <c r="J27" s="4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"/>
      <c r="W27" s="4"/>
      <c r="X27" s="4"/>
    </row>
    <row r="28" spans="1:24" ht="15.75" customHeight="1" x14ac:dyDescent="0.45">
      <c r="A28" s="4"/>
      <c r="B28" s="4"/>
      <c r="C28" s="4"/>
      <c r="D28" s="4"/>
      <c r="E28" s="4"/>
      <c r="F28" s="4"/>
      <c r="G28" s="4"/>
      <c r="H28" s="17" t="str">
        <f>H31</f>
        <v>Investor Cash Flows</v>
      </c>
      <c r="I28" s="17"/>
      <c r="J28" s="4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"/>
      <c r="W28" s="4"/>
      <c r="X28" s="4"/>
    </row>
    <row r="29" spans="1:24" ht="15.75" customHeight="1" x14ac:dyDescent="0.45">
      <c r="A29" s="4"/>
      <c r="B29" s="4"/>
      <c r="C29" s="4"/>
      <c r="D29" s="4"/>
      <c r="E29" s="4"/>
      <c r="F29" s="4"/>
      <c r="G29" s="4"/>
      <c r="H29" s="4" t="s">
        <v>40</v>
      </c>
      <c r="I29" s="4"/>
      <c r="J29" s="19" t="str">
        <f t="shared" ref="J29:J31" si="21">IF(ISBLANK($F$13),"",$F$13)</f>
        <v>USD</v>
      </c>
      <c r="K29" s="31">
        <f>-K20*L26</f>
        <v>-2097152</v>
      </c>
      <c r="L29" s="31"/>
      <c r="M29" s="31"/>
      <c r="N29" s="31"/>
      <c r="O29" s="31"/>
      <c r="P29" s="31"/>
      <c r="Q29" s="21"/>
      <c r="R29" s="31"/>
      <c r="S29" s="31"/>
      <c r="T29" s="31"/>
      <c r="U29" s="31"/>
      <c r="V29" s="4"/>
      <c r="W29" s="4"/>
      <c r="X29" s="4"/>
    </row>
    <row r="30" spans="1:24" ht="15.75" customHeight="1" x14ac:dyDescent="0.45">
      <c r="A30" s="4"/>
      <c r="B30" s="4"/>
      <c r="C30" s="4"/>
      <c r="D30" s="4"/>
      <c r="E30" s="4"/>
      <c r="F30" s="4"/>
      <c r="G30" s="4"/>
      <c r="H30" s="4" t="s">
        <v>41</v>
      </c>
      <c r="I30" s="4"/>
      <c r="J30" s="61" t="str">
        <f t="shared" si="21"/>
        <v>USD</v>
      </c>
      <c r="K30" s="62">
        <f t="shared" ref="K30:U30" si="22">IF(K$7=$F$15,K25*K26,0)</f>
        <v>0</v>
      </c>
      <c r="L30" s="62">
        <f t="shared" si="22"/>
        <v>0</v>
      </c>
      <c r="M30" s="62">
        <f t="shared" si="22"/>
        <v>0</v>
      </c>
      <c r="N30" s="62">
        <f t="shared" si="22"/>
        <v>0</v>
      </c>
      <c r="O30" s="62">
        <f t="shared" si="22"/>
        <v>0</v>
      </c>
      <c r="P30" s="62">
        <f t="shared" si="22"/>
        <v>0</v>
      </c>
      <c r="Q30" s="21">
        <f t="shared" si="22"/>
        <v>0</v>
      </c>
      <c r="R30" s="62">
        <f t="shared" si="22"/>
        <v>10000000</v>
      </c>
      <c r="S30" s="31">
        <f t="shared" si="22"/>
        <v>0</v>
      </c>
      <c r="T30" s="31">
        <f t="shared" si="22"/>
        <v>0</v>
      </c>
      <c r="U30" s="31">
        <f t="shared" si="22"/>
        <v>0</v>
      </c>
      <c r="V30" s="4"/>
      <c r="W30" s="4"/>
      <c r="X30" s="4"/>
    </row>
    <row r="31" spans="1:24" ht="15.75" customHeight="1" x14ac:dyDescent="0.45">
      <c r="A31" s="4"/>
      <c r="B31" s="4"/>
      <c r="C31" s="4"/>
      <c r="D31" s="4"/>
      <c r="E31" s="4"/>
      <c r="F31" s="4"/>
      <c r="G31" s="4"/>
      <c r="H31" s="63" t="s">
        <v>42</v>
      </c>
      <c r="I31" s="63"/>
      <c r="J31" s="28" t="str">
        <f t="shared" si="21"/>
        <v>USD</v>
      </c>
      <c r="K31" s="29">
        <f t="shared" ref="K31:U31" si="23">SUM(K29:K30)</f>
        <v>-2097152</v>
      </c>
      <c r="L31" s="29">
        <f t="shared" si="23"/>
        <v>0</v>
      </c>
      <c r="M31" s="29">
        <f t="shared" si="23"/>
        <v>0</v>
      </c>
      <c r="N31" s="29">
        <f t="shared" si="23"/>
        <v>0</v>
      </c>
      <c r="O31" s="29">
        <f t="shared" si="23"/>
        <v>0</v>
      </c>
      <c r="P31" s="29">
        <f t="shared" si="23"/>
        <v>0</v>
      </c>
      <c r="Q31" s="30">
        <f t="shared" si="23"/>
        <v>0</v>
      </c>
      <c r="R31" s="29">
        <f t="shared" si="23"/>
        <v>10000000</v>
      </c>
      <c r="S31" s="39">
        <f t="shared" si="23"/>
        <v>0</v>
      </c>
      <c r="T31" s="39">
        <f t="shared" si="23"/>
        <v>0</v>
      </c>
      <c r="U31" s="39">
        <f t="shared" si="23"/>
        <v>0</v>
      </c>
      <c r="V31" s="4"/>
      <c r="W31" s="4"/>
      <c r="X31" s="4"/>
    </row>
    <row r="32" spans="1:24" ht="15.75" customHeight="1" x14ac:dyDescent="0.45">
      <c r="A32" s="4"/>
      <c r="B32" s="4"/>
      <c r="C32" s="4"/>
      <c r="D32" s="4"/>
      <c r="E32" s="4"/>
      <c r="F32" s="4"/>
      <c r="G32" s="4"/>
      <c r="H32" s="54" t="s">
        <v>43</v>
      </c>
      <c r="I32" s="54"/>
      <c r="J32" s="54" t="s">
        <v>27</v>
      </c>
      <c r="K32" s="64">
        <f>IFERROR(IRR(K31:U31),"NA")</f>
        <v>0.24999999999999978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45">
      <c r="A33" s="4"/>
      <c r="B33" s="4"/>
      <c r="C33" s="4"/>
      <c r="D33" s="4"/>
      <c r="E33" s="4"/>
      <c r="F33" s="4"/>
      <c r="G33" s="4"/>
      <c r="H33" s="17" t="s">
        <v>44</v>
      </c>
      <c r="I33" s="4"/>
      <c r="J33" s="4" t="s">
        <v>45</v>
      </c>
      <c r="K33" s="65">
        <f>IFERROR(-SUM(L31:U31)/K31,"NA")</f>
        <v>4.76837158203125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4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45">
      <c r="A35" s="4"/>
      <c r="B35" s="66"/>
      <c r="C35" s="6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45">
      <c r="A36" s="4"/>
      <c r="B36" s="67"/>
      <c r="C36" s="6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4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6.75" customHeight="1" x14ac:dyDescent="0.4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 x14ac:dyDescent="0.45">
      <c r="A39" s="4"/>
      <c r="B39" s="4"/>
      <c r="C39" s="4"/>
      <c r="D39" s="4"/>
      <c r="E39" s="4"/>
      <c r="F39" s="4"/>
      <c r="G39" s="17"/>
      <c r="H39" s="17"/>
      <c r="I39" s="17"/>
      <c r="J39" s="1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7"/>
      <c r="X39" s="17"/>
    </row>
    <row r="40" spans="1:24" ht="15.75" customHeight="1" x14ac:dyDescent="0.4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 x14ac:dyDescent="0.4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 x14ac:dyDescent="0.4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 x14ac:dyDescent="0.4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 x14ac:dyDescent="0.4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 x14ac:dyDescent="0.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 x14ac:dyDescent="0.4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 x14ac:dyDescent="0.4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 x14ac:dyDescent="0.4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 x14ac:dyDescent="0.4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 x14ac:dyDescent="0.4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 x14ac:dyDescent="0.4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 x14ac:dyDescent="0.4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 x14ac:dyDescent="0.4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 x14ac:dyDescent="0.4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 x14ac:dyDescent="0.4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 x14ac:dyDescent="0.4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 x14ac:dyDescent="0.4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 x14ac:dyDescent="0.4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 x14ac:dyDescent="0.4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 x14ac:dyDescent="0.4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 x14ac:dyDescent="0.4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 x14ac:dyDescent="0.4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 x14ac:dyDescent="0.4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 x14ac:dyDescent="0.4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 x14ac:dyDescent="0.4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 x14ac:dyDescent="0.4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 x14ac:dyDescent="0.4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 x14ac:dyDescent="0.4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 x14ac:dyDescent="0.4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 x14ac:dyDescent="0.4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 x14ac:dyDescent="0.4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 x14ac:dyDescent="0.4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 x14ac:dyDescent="0.4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 x14ac:dyDescent="0.4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 x14ac:dyDescent="0.4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 x14ac:dyDescent="0.4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 x14ac:dyDescent="0.4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 x14ac:dyDescent="0.4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 x14ac:dyDescent="0.4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 x14ac:dyDescent="0.4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 x14ac:dyDescent="0.4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 x14ac:dyDescent="0.4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 x14ac:dyDescent="0.4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 x14ac:dyDescent="0.4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 x14ac:dyDescent="0.4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 x14ac:dyDescent="0.4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 x14ac:dyDescent="0.4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 x14ac:dyDescent="0.4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 x14ac:dyDescent="0.4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 x14ac:dyDescent="0.4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 x14ac:dyDescent="0.4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 x14ac:dyDescent="0.4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 x14ac:dyDescent="0.4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 x14ac:dyDescent="0.4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 x14ac:dyDescent="0.4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 x14ac:dyDescent="0.4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 x14ac:dyDescent="0.4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 x14ac:dyDescent="0.4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 x14ac:dyDescent="0.4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 x14ac:dyDescent="0.4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 x14ac:dyDescent="0.4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 x14ac:dyDescent="0.4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 x14ac:dyDescent="0.4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 x14ac:dyDescent="0.4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 x14ac:dyDescent="0.4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 x14ac:dyDescent="0.4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 x14ac:dyDescent="0.4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 x14ac:dyDescent="0.4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 x14ac:dyDescent="0.4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 x14ac:dyDescent="0.4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 x14ac:dyDescent="0.4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 x14ac:dyDescent="0.4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 x14ac:dyDescent="0.4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 x14ac:dyDescent="0.4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 x14ac:dyDescent="0.4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 x14ac:dyDescent="0.4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 x14ac:dyDescent="0.4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 x14ac:dyDescent="0.4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 x14ac:dyDescent="0.4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 x14ac:dyDescent="0.4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 x14ac:dyDescent="0.4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 x14ac:dyDescent="0.4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 x14ac:dyDescent="0.4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 x14ac:dyDescent="0.4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 x14ac:dyDescent="0.4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 x14ac:dyDescent="0.4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 x14ac:dyDescent="0.4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 x14ac:dyDescent="0.4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 x14ac:dyDescent="0.4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 x14ac:dyDescent="0.4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 x14ac:dyDescent="0.4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 x14ac:dyDescent="0.4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 x14ac:dyDescent="0.4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 x14ac:dyDescent="0.4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 x14ac:dyDescent="0.4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 x14ac:dyDescent="0.4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 x14ac:dyDescent="0.4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 x14ac:dyDescent="0.4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 x14ac:dyDescent="0.4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 x14ac:dyDescent="0.4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 x14ac:dyDescent="0.4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 x14ac:dyDescent="0.4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 x14ac:dyDescent="0.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 x14ac:dyDescent="0.4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 x14ac:dyDescent="0.4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 x14ac:dyDescent="0.4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 x14ac:dyDescent="0.4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 x14ac:dyDescent="0.4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 x14ac:dyDescent="0.4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 x14ac:dyDescent="0.4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 x14ac:dyDescent="0.4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 x14ac:dyDescent="0.4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 x14ac:dyDescent="0.4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 x14ac:dyDescent="0.4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 x14ac:dyDescent="0.4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 x14ac:dyDescent="0.4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 x14ac:dyDescent="0.4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 x14ac:dyDescent="0.4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 x14ac:dyDescent="0.4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 x14ac:dyDescent="0.4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 x14ac:dyDescent="0.4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 x14ac:dyDescent="0.4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 x14ac:dyDescent="0.4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 x14ac:dyDescent="0.4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 x14ac:dyDescent="0.4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 x14ac:dyDescent="0.4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 x14ac:dyDescent="0.4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 x14ac:dyDescent="0.4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 x14ac:dyDescent="0.4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 x14ac:dyDescent="0.4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 x14ac:dyDescent="0.4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 x14ac:dyDescent="0.4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 x14ac:dyDescent="0.4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 x14ac:dyDescent="0.4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 x14ac:dyDescent="0.4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 x14ac:dyDescent="0.4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 x14ac:dyDescent="0.4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 x14ac:dyDescent="0.4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 x14ac:dyDescent="0.4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 x14ac:dyDescent="0.4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 x14ac:dyDescent="0.4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 x14ac:dyDescent="0.4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 x14ac:dyDescent="0.4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 x14ac:dyDescent="0.4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 x14ac:dyDescent="0.4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 x14ac:dyDescent="0.4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 x14ac:dyDescent="0.4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 x14ac:dyDescent="0.4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 x14ac:dyDescent="0.4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 x14ac:dyDescent="0.4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 x14ac:dyDescent="0.4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 x14ac:dyDescent="0.4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 x14ac:dyDescent="0.4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 x14ac:dyDescent="0.4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 x14ac:dyDescent="0.4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 x14ac:dyDescent="0.4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 x14ac:dyDescent="0.4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 x14ac:dyDescent="0.4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 x14ac:dyDescent="0.4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 x14ac:dyDescent="0.4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 x14ac:dyDescent="0.4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 x14ac:dyDescent="0.4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 x14ac:dyDescent="0.4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 x14ac:dyDescent="0.4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 x14ac:dyDescent="0.4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 x14ac:dyDescent="0.4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 x14ac:dyDescent="0.4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 x14ac:dyDescent="0.4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 x14ac:dyDescent="0.4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 x14ac:dyDescent="0.4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 x14ac:dyDescent="0.4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 x14ac:dyDescent="0.4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 x14ac:dyDescent="0.4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 x14ac:dyDescent="0.4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 x14ac:dyDescent="0.4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 x14ac:dyDescent="0.4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 x14ac:dyDescent="0.4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 x14ac:dyDescent="0.4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 x14ac:dyDescent="0.4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 x14ac:dyDescent="0.4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 x14ac:dyDescent="0.4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 x14ac:dyDescent="0.4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 x14ac:dyDescent="0.4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 x14ac:dyDescent="0.4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 x14ac:dyDescent="0.4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 x14ac:dyDescent="0.4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 x14ac:dyDescent="0.4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 x14ac:dyDescent="0.4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 x14ac:dyDescent="0.4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 x14ac:dyDescent="0.4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 x14ac:dyDescent="0.4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 x14ac:dyDescent="0.4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 x14ac:dyDescent="0.4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 x14ac:dyDescent="0.4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 x14ac:dyDescent="0.4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 x14ac:dyDescent="0.4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 x14ac:dyDescent="0.4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 x14ac:dyDescent="0.4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 x14ac:dyDescent="0.4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 x14ac:dyDescent="0.4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 x14ac:dyDescent="0.4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 x14ac:dyDescent="0.4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 x14ac:dyDescent="0.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 x14ac:dyDescent="0.4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 x14ac:dyDescent="0.4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 x14ac:dyDescent="0.4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 x14ac:dyDescent="0.4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 x14ac:dyDescent="0.4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 x14ac:dyDescent="0.4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 x14ac:dyDescent="0.4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 x14ac:dyDescent="0.4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 x14ac:dyDescent="0.4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customHeight="1" x14ac:dyDescent="0.4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customHeight="1" x14ac:dyDescent="0.4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customHeight="1" x14ac:dyDescent="0.4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customHeight="1" x14ac:dyDescent="0.4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customHeight="1" x14ac:dyDescent="0.4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customHeight="1" x14ac:dyDescent="0.4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customHeight="1" x14ac:dyDescent="0.4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customHeight="1" x14ac:dyDescent="0.4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customHeight="1" x14ac:dyDescent="0.4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customHeight="1" x14ac:dyDescent="0.4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customHeight="1" x14ac:dyDescent="0.4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customHeight="1" x14ac:dyDescent="0.4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customHeight="1" x14ac:dyDescent="0.4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customHeight="1" x14ac:dyDescent="0.4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customHeight="1" x14ac:dyDescent="0.4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customHeight="1" x14ac:dyDescent="0.4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 x14ac:dyDescent="0.4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customHeight="1" x14ac:dyDescent="0.4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customHeight="1" x14ac:dyDescent="0.4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customHeight="1" x14ac:dyDescent="0.4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 x14ac:dyDescent="0.4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 x14ac:dyDescent="0.4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 x14ac:dyDescent="0.4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 x14ac:dyDescent="0.4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 x14ac:dyDescent="0.4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 x14ac:dyDescent="0.4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 x14ac:dyDescent="0.4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 x14ac:dyDescent="0.4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 x14ac:dyDescent="0.4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 x14ac:dyDescent="0.4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 x14ac:dyDescent="0.4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 x14ac:dyDescent="0.4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 x14ac:dyDescent="0.4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 x14ac:dyDescent="0.4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 x14ac:dyDescent="0.4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 x14ac:dyDescent="0.4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 x14ac:dyDescent="0.4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 x14ac:dyDescent="0.4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 x14ac:dyDescent="0.4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 x14ac:dyDescent="0.4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 x14ac:dyDescent="0.4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 x14ac:dyDescent="0.4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 x14ac:dyDescent="0.4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 x14ac:dyDescent="0.4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 x14ac:dyDescent="0.4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 x14ac:dyDescent="0.4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 x14ac:dyDescent="0.4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 x14ac:dyDescent="0.4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 x14ac:dyDescent="0.4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 x14ac:dyDescent="0.4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 x14ac:dyDescent="0.4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 x14ac:dyDescent="0.4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 x14ac:dyDescent="0.4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 x14ac:dyDescent="0.4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 x14ac:dyDescent="0.4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 x14ac:dyDescent="0.4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 x14ac:dyDescent="0.4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 x14ac:dyDescent="0.4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 x14ac:dyDescent="0.4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 x14ac:dyDescent="0.4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 x14ac:dyDescent="0.4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 x14ac:dyDescent="0.4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 x14ac:dyDescent="0.4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 x14ac:dyDescent="0.4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 x14ac:dyDescent="0.4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 x14ac:dyDescent="0.4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 x14ac:dyDescent="0.4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 x14ac:dyDescent="0.4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 x14ac:dyDescent="0.4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 x14ac:dyDescent="0.4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 x14ac:dyDescent="0.4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 x14ac:dyDescent="0.4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 x14ac:dyDescent="0.4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 x14ac:dyDescent="0.4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 x14ac:dyDescent="0.4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 x14ac:dyDescent="0.4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 x14ac:dyDescent="0.4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 x14ac:dyDescent="0.4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 x14ac:dyDescent="0.4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 x14ac:dyDescent="0.4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 x14ac:dyDescent="0.4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 x14ac:dyDescent="0.4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 x14ac:dyDescent="0.4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 x14ac:dyDescent="0.4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 x14ac:dyDescent="0.4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 x14ac:dyDescent="0.4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 x14ac:dyDescent="0.4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 x14ac:dyDescent="0.4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 x14ac:dyDescent="0.4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 x14ac:dyDescent="0.4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 x14ac:dyDescent="0.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 x14ac:dyDescent="0.4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 x14ac:dyDescent="0.4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 x14ac:dyDescent="0.4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 x14ac:dyDescent="0.4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 x14ac:dyDescent="0.4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 x14ac:dyDescent="0.4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 x14ac:dyDescent="0.4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 x14ac:dyDescent="0.4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 x14ac:dyDescent="0.4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 x14ac:dyDescent="0.4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 x14ac:dyDescent="0.4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 x14ac:dyDescent="0.4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 x14ac:dyDescent="0.4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 x14ac:dyDescent="0.4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 x14ac:dyDescent="0.4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 x14ac:dyDescent="0.4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 x14ac:dyDescent="0.4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 x14ac:dyDescent="0.4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 x14ac:dyDescent="0.4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 x14ac:dyDescent="0.4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 x14ac:dyDescent="0.4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 x14ac:dyDescent="0.4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 x14ac:dyDescent="0.4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 x14ac:dyDescent="0.4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 x14ac:dyDescent="0.4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 x14ac:dyDescent="0.4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 x14ac:dyDescent="0.4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 x14ac:dyDescent="0.4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 x14ac:dyDescent="0.4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 x14ac:dyDescent="0.4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 x14ac:dyDescent="0.4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 x14ac:dyDescent="0.4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 x14ac:dyDescent="0.4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 x14ac:dyDescent="0.4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 x14ac:dyDescent="0.4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 x14ac:dyDescent="0.4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 x14ac:dyDescent="0.4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 x14ac:dyDescent="0.4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 x14ac:dyDescent="0.4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 x14ac:dyDescent="0.4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 x14ac:dyDescent="0.4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 x14ac:dyDescent="0.4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 x14ac:dyDescent="0.4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 x14ac:dyDescent="0.4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 x14ac:dyDescent="0.4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 x14ac:dyDescent="0.4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 x14ac:dyDescent="0.4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 x14ac:dyDescent="0.4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 x14ac:dyDescent="0.4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 x14ac:dyDescent="0.4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 x14ac:dyDescent="0.4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 x14ac:dyDescent="0.4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 x14ac:dyDescent="0.4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 x14ac:dyDescent="0.4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 x14ac:dyDescent="0.4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 x14ac:dyDescent="0.4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 x14ac:dyDescent="0.4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 x14ac:dyDescent="0.4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 x14ac:dyDescent="0.4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 x14ac:dyDescent="0.4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 x14ac:dyDescent="0.4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 x14ac:dyDescent="0.4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 x14ac:dyDescent="0.4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 x14ac:dyDescent="0.4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 x14ac:dyDescent="0.4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 x14ac:dyDescent="0.4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 x14ac:dyDescent="0.4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 x14ac:dyDescent="0.4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 x14ac:dyDescent="0.4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 x14ac:dyDescent="0.4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 x14ac:dyDescent="0.4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 x14ac:dyDescent="0.4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 x14ac:dyDescent="0.4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 x14ac:dyDescent="0.4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 x14ac:dyDescent="0.4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 x14ac:dyDescent="0.4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 x14ac:dyDescent="0.4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 x14ac:dyDescent="0.4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 x14ac:dyDescent="0.4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 x14ac:dyDescent="0.4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 x14ac:dyDescent="0.4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 x14ac:dyDescent="0.4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 x14ac:dyDescent="0.4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 x14ac:dyDescent="0.4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 x14ac:dyDescent="0.4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 x14ac:dyDescent="0.4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 x14ac:dyDescent="0.4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 x14ac:dyDescent="0.4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 x14ac:dyDescent="0.4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 x14ac:dyDescent="0.4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 x14ac:dyDescent="0.4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 x14ac:dyDescent="0.4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 x14ac:dyDescent="0.4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 x14ac:dyDescent="0.4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 x14ac:dyDescent="0.4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 x14ac:dyDescent="0.4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 x14ac:dyDescent="0.4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 x14ac:dyDescent="0.4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 x14ac:dyDescent="0.4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 x14ac:dyDescent="0.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 x14ac:dyDescent="0.4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 x14ac:dyDescent="0.4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 x14ac:dyDescent="0.4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 x14ac:dyDescent="0.4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 x14ac:dyDescent="0.4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 x14ac:dyDescent="0.4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 x14ac:dyDescent="0.4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 x14ac:dyDescent="0.4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 x14ac:dyDescent="0.4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 x14ac:dyDescent="0.4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 x14ac:dyDescent="0.4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 x14ac:dyDescent="0.4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 x14ac:dyDescent="0.4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 x14ac:dyDescent="0.4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 x14ac:dyDescent="0.4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 x14ac:dyDescent="0.4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 x14ac:dyDescent="0.4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 x14ac:dyDescent="0.4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 x14ac:dyDescent="0.4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 x14ac:dyDescent="0.4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 x14ac:dyDescent="0.4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 x14ac:dyDescent="0.4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 x14ac:dyDescent="0.4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 x14ac:dyDescent="0.4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 x14ac:dyDescent="0.4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 x14ac:dyDescent="0.4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 x14ac:dyDescent="0.4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 x14ac:dyDescent="0.4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 x14ac:dyDescent="0.4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 x14ac:dyDescent="0.4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 x14ac:dyDescent="0.4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 x14ac:dyDescent="0.4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 x14ac:dyDescent="0.4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 x14ac:dyDescent="0.4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 x14ac:dyDescent="0.4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 x14ac:dyDescent="0.4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 x14ac:dyDescent="0.4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 x14ac:dyDescent="0.4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 x14ac:dyDescent="0.4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 x14ac:dyDescent="0.4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 x14ac:dyDescent="0.4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 x14ac:dyDescent="0.4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 x14ac:dyDescent="0.4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 x14ac:dyDescent="0.4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 x14ac:dyDescent="0.4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 x14ac:dyDescent="0.4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 x14ac:dyDescent="0.4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 x14ac:dyDescent="0.4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 x14ac:dyDescent="0.4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 x14ac:dyDescent="0.4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 x14ac:dyDescent="0.4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 x14ac:dyDescent="0.4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 x14ac:dyDescent="0.4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 x14ac:dyDescent="0.4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 x14ac:dyDescent="0.4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 x14ac:dyDescent="0.4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 x14ac:dyDescent="0.4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 x14ac:dyDescent="0.4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 x14ac:dyDescent="0.4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 x14ac:dyDescent="0.4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 x14ac:dyDescent="0.4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 x14ac:dyDescent="0.4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 x14ac:dyDescent="0.4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 x14ac:dyDescent="0.4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 x14ac:dyDescent="0.4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 x14ac:dyDescent="0.4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 x14ac:dyDescent="0.4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 x14ac:dyDescent="0.4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 x14ac:dyDescent="0.4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 x14ac:dyDescent="0.4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 x14ac:dyDescent="0.4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 x14ac:dyDescent="0.4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 x14ac:dyDescent="0.4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 x14ac:dyDescent="0.4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 x14ac:dyDescent="0.4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 x14ac:dyDescent="0.4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 x14ac:dyDescent="0.4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 x14ac:dyDescent="0.4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 x14ac:dyDescent="0.4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 x14ac:dyDescent="0.4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 x14ac:dyDescent="0.4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 x14ac:dyDescent="0.4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 x14ac:dyDescent="0.4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 x14ac:dyDescent="0.4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 x14ac:dyDescent="0.4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 x14ac:dyDescent="0.4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 x14ac:dyDescent="0.4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 x14ac:dyDescent="0.4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 x14ac:dyDescent="0.4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 x14ac:dyDescent="0.4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 x14ac:dyDescent="0.4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 x14ac:dyDescent="0.4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 x14ac:dyDescent="0.4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 x14ac:dyDescent="0.4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 x14ac:dyDescent="0.4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 x14ac:dyDescent="0.4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 x14ac:dyDescent="0.4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 x14ac:dyDescent="0.4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 x14ac:dyDescent="0.4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 x14ac:dyDescent="0.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 x14ac:dyDescent="0.4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 x14ac:dyDescent="0.4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 x14ac:dyDescent="0.4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 x14ac:dyDescent="0.4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 x14ac:dyDescent="0.4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 x14ac:dyDescent="0.4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 x14ac:dyDescent="0.4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 x14ac:dyDescent="0.4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 x14ac:dyDescent="0.4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 x14ac:dyDescent="0.4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 x14ac:dyDescent="0.4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 x14ac:dyDescent="0.4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 x14ac:dyDescent="0.4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 x14ac:dyDescent="0.4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 x14ac:dyDescent="0.4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 x14ac:dyDescent="0.4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 x14ac:dyDescent="0.4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 x14ac:dyDescent="0.4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 x14ac:dyDescent="0.4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 x14ac:dyDescent="0.4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 x14ac:dyDescent="0.4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 x14ac:dyDescent="0.4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 x14ac:dyDescent="0.4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 x14ac:dyDescent="0.4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 x14ac:dyDescent="0.4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 x14ac:dyDescent="0.4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 x14ac:dyDescent="0.4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 x14ac:dyDescent="0.4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 x14ac:dyDescent="0.4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 x14ac:dyDescent="0.4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 x14ac:dyDescent="0.4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 x14ac:dyDescent="0.4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 x14ac:dyDescent="0.4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 x14ac:dyDescent="0.4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 x14ac:dyDescent="0.4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 x14ac:dyDescent="0.4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 x14ac:dyDescent="0.4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 x14ac:dyDescent="0.4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 x14ac:dyDescent="0.4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 x14ac:dyDescent="0.4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 x14ac:dyDescent="0.4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 x14ac:dyDescent="0.4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 x14ac:dyDescent="0.4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 x14ac:dyDescent="0.4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 x14ac:dyDescent="0.4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 x14ac:dyDescent="0.4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 x14ac:dyDescent="0.4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 x14ac:dyDescent="0.4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 x14ac:dyDescent="0.4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 x14ac:dyDescent="0.4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 x14ac:dyDescent="0.4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 x14ac:dyDescent="0.4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 x14ac:dyDescent="0.4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 x14ac:dyDescent="0.4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 x14ac:dyDescent="0.4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 x14ac:dyDescent="0.4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 x14ac:dyDescent="0.4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 x14ac:dyDescent="0.4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 x14ac:dyDescent="0.4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 x14ac:dyDescent="0.4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 x14ac:dyDescent="0.4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 x14ac:dyDescent="0.4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 x14ac:dyDescent="0.4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 x14ac:dyDescent="0.4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 x14ac:dyDescent="0.4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 x14ac:dyDescent="0.4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 x14ac:dyDescent="0.4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 x14ac:dyDescent="0.4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 x14ac:dyDescent="0.4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 x14ac:dyDescent="0.4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 x14ac:dyDescent="0.4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 x14ac:dyDescent="0.4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 x14ac:dyDescent="0.4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 x14ac:dyDescent="0.4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 x14ac:dyDescent="0.4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 x14ac:dyDescent="0.4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 x14ac:dyDescent="0.4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 x14ac:dyDescent="0.4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 x14ac:dyDescent="0.4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 x14ac:dyDescent="0.4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 x14ac:dyDescent="0.4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 x14ac:dyDescent="0.4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 x14ac:dyDescent="0.4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 x14ac:dyDescent="0.4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 x14ac:dyDescent="0.4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 x14ac:dyDescent="0.4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 x14ac:dyDescent="0.4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 x14ac:dyDescent="0.4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 x14ac:dyDescent="0.4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 x14ac:dyDescent="0.4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 x14ac:dyDescent="0.4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 x14ac:dyDescent="0.4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 x14ac:dyDescent="0.4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 x14ac:dyDescent="0.4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 x14ac:dyDescent="0.4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 x14ac:dyDescent="0.4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 x14ac:dyDescent="0.4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 x14ac:dyDescent="0.4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 x14ac:dyDescent="0.4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 x14ac:dyDescent="0.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 x14ac:dyDescent="0.4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 x14ac:dyDescent="0.4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 x14ac:dyDescent="0.4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 x14ac:dyDescent="0.4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 x14ac:dyDescent="0.4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 x14ac:dyDescent="0.4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 x14ac:dyDescent="0.4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 x14ac:dyDescent="0.4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 x14ac:dyDescent="0.4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 x14ac:dyDescent="0.4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 x14ac:dyDescent="0.4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 x14ac:dyDescent="0.4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 x14ac:dyDescent="0.4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 x14ac:dyDescent="0.4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 x14ac:dyDescent="0.4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 x14ac:dyDescent="0.4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 x14ac:dyDescent="0.4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 x14ac:dyDescent="0.4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 x14ac:dyDescent="0.4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 x14ac:dyDescent="0.4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 x14ac:dyDescent="0.4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 x14ac:dyDescent="0.4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 x14ac:dyDescent="0.4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 x14ac:dyDescent="0.4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 x14ac:dyDescent="0.4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 x14ac:dyDescent="0.4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 x14ac:dyDescent="0.4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 x14ac:dyDescent="0.4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 x14ac:dyDescent="0.4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 x14ac:dyDescent="0.4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 x14ac:dyDescent="0.4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 x14ac:dyDescent="0.4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 x14ac:dyDescent="0.4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 x14ac:dyDescent="0.4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 x14ac:dyDescent="0.4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 x14ac:dyDescent="0.4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 x14ac:dyDescent="0.4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 x14ac:dyDescent="0.4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 x14ac:dyDescent="0.4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 x14ac:dyDescent="0.4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 x14ac:dyDescent="0.4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 x14ac:dyDescent="0.4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 x14ac:dyDescent="0.4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 x14ac:dyDescent="0.4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 x14ac:dyDescent="0.4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 x14ac:dyDescent="0.4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 x14ac:dyDescent="0.4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 x14ac:dyDescent="0.4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 x14ac:dyDescent="0.4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 x14ac:dyDescent="0.4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 x14ac:dyDescent="0.4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 x14ac:dyDescent="0.4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 x14ac:dyDescent="0.4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 x14ac:dyDescent="0.4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 x14ac:dyDescent="0.4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 x14ac:dyDescent="0.4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 x14ac:dyDescent="0.4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 x14ac:dyDescent="0.4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 x14ac:dyDescent="0.4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 x14ac:dyDescent="0.4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 x14ac:dyDescent="0.4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 x14ac:dyDescent="0.4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 x14ac:dyDescent="0.4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 x14ac:dyDescent="0.4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 x14ac:dyDescent="0.4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 x14ac:dyDescent="0.4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 x14ac:dyDescent="0.4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 x14ac:dyDescent="0.4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 x14ac:dyDescent="0.4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 x14ac:dyDescent="0.4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 x14ac:dyDescent="0.4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 x14ac:dyDescent="0.4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 x14ac:dyDescent="0.4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 x14ac:dyDescent="0.4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 x14ac:dyDescent="0.4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 x14ac:dyDescent="0.4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 x14ac:dyDescent="0.4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 x14ac:dyDescent="0.4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 x14ac:dyDescent="0.4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 x14ac:dyDescent="0.4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 x14ac:dyDescent="0.4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 x14ac:dyDescent="0.4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 x14ac:dyDescent="0.4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 x14ac:dyDescent="0.4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 x14ac:dyDescent="0.4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 x14ac:dyDescent="0.4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 x14ac:dyDescent="0.4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 x14ac:dyDescent="0.4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 x14ac:dyDescent="0.4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 x14ac:dyDescent="0.4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 x14ac:dyDescent="0.4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 x14ac:dyDescent="0.4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 x14ac:dyDescent="0.4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 x14ac:dyDescent="0.4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 x14ac:dyDescent="0.4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 x14ac:dyDescent="0.4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 x14ac:dyDescent="0.4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 x14ac:dyDescent="0.4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 x14ac:dyDescent="0.4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 x14ac:dyDescent="0.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 x14ac:dyDescent="0.4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 x14ac:dyDescent="0.4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 x14ac:dyDescent="0.4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 x14ac:dyDescent="0.4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 x14ac:dyDescent="0.4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 x14ac:dyDescent="0.4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 x14ac:dyDescent="0.4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 x14ac:dyDescent="0.4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 x14ac:dyDescent="0.4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 x14ac:dyDescent="0.4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 x14ac:dyDescent="0.4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 x14ac:dyDescent="0.4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 x14ac:dyDescent="0.4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 x14ac:dyDescent="0.4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 x14ac:dyDescent="0.4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 x14ac:dyDescent="0.4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 x14ac:dyDescent="0.4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 x14ac:dyDescent="0.4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 x14ac:dyDescent="0.4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 x14ac:dyDescent="0.4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 x14ac:dyDescent="0.4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 x14ac:dyDescent="0.4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 x14ac:dyDescent="0.4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 x14ac:dyDescent="0.4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 x14ac:dyDescent="0.4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 x14ac:dyDescent="0.4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 x14ac:dyDescent="0.4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 x14ac:dyDescent="0.4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 x14ac:dyDescent="0.4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 x14ac:dyDescent="0.4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 x14ac:dyDescent="0.4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 x14ac:dyDescent="0.4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 x14ac:dyDescent="0.4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 x14ac:dyDescent="0.4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 x14ac:dyDescent="0.4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 x14ac:dyDescent="0.4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 x14ac:dyDescent="0.4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 x14ac:dyDescent="0.4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 x14ac:dyDescent="0.4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 x14ac:dyDescent="0.4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 x14ac:dyDescent="0.4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 x14ac:dyDescent="0.4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 x14ac:dyDescent="0.4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 x14ac:dyDescent="0.4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 x14ac:dyDescent="0.4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 x14ac:dyDescent="0.4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 x14ac:dyDescent="0.4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 x14ac:dyDescent="0.4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 x14ac:dyDescent="0.4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 x14ac:dyDescent="0.4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 x14ac:dyDescent="0.4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 x14ac:dyDescent="0.4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 x14ac:dyDescent="0.4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 x14ac:dyDescent="0.4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 x14ac:dyDescent="0.4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 x14ac:dyDescent="0.4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 x14ac:dyDescent="0.4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 x14ac:dyDescent="0.4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 x14ac:dyDescent="0.4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 x14ac:dyDescent="0.4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 x14ac:dyDescent="0.4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 x14ac:dyDescent="0.4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 x14ac:dyDescent="0.4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 x14ac:dyDescent="0.4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 x14ac:dyDescent="0.4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 x14ac:dyDescent="0.4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 x14ac:dyDescent="0.4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 x14ac:dyDescent="0.4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 x14ac:dyDescent="0.4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 x14ac:dyDescent="0.4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 x14ac:dyDescent="0.4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 x14ac:dyDescent="0.4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 x14ac:dyDescent="0.4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 x14ac:dyDescent="0.4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 x14ac:dyDescent="0.4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 x14ac:dyDescent="0.4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 x14ac:dyDescent="0.4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 x14ac:dyDescent="0.4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 x14ac:dyDescent="0.4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 x14ac:dyDescent="0.4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 x14ac:dyDescent="0.4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 x14ac:dyDescent="0.4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 x14ac:dyDescent="0.4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 x14ac:dyDescent="0.4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 x14ac:dyDescent="0.4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 x14ac:dyDescent="0.4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 x14ac:dyDescent="0.4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 x14ac:dyDescent="0.4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 x14ac:dyDescent="0.4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 x14ac:dyDescent="0.4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 x14ac:dyDescent="0.4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 x14ac:dyDescent="0.4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 x14ac:dyDescent="0.4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 x14ac:dyDescent="0.4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 x14ac:dyDescent="0.4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 x14ac:dyDescent="0.4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 x14ac:dyDescent="0.4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 x14ac:dyDescent="0.4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 x14ac:dyDescent="0.4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 x14ac:dyDescent="0.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 x14ac:dyDescent="0.4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 x14ac:dyDescent="0.4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 x14ac:dyDescent="0.4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 x14ac:dyDescent="0.4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 x14ac:dyDescent="0.4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 x14ac:dyDescent="0.4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 x14ac:dyDescent="0.4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 x14ac:dyDescent="0.4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 x14ac:dyDescent="0.4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 x14ac:dyDescent="0.4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 x14ac:dyDescent="0.4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 x14ac:dyDescent="0.4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 x14ac:dyDescent="0.4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 x14ac:dyDescent="0.4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 x14ac:dyDescent="0.4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 x14ac:dyDescent="0.4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 x14ac:dyDescent="0.4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 x14ac:dyDescent="0.4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 x14ac:dyDescent="0.4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 x14ac:dyDescent="0.4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 x14ac:dyDescent="0.4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 x14ac:dyDescent="0.4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 x14ac:dyDescent="0.4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 x14ac:dyDescent="0.4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 x14ac:dyDescent="0.4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 x14ac:dyDescent="0.4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 x14ac:dyDescent="0.4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 x14ac:dyDescent="0.4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 x14ac:dyDescent="0.4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 x14ac:dyDescent="0.4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 x14ac:dyDescent="0.4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 x14ac:dyDescent="0.4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 x14ac:dyDescent="0.4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 x14ac:dyDescent="0.4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 x14ac:dyDescent="0.4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 x14ac:dyDescent="0.4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 x14ac:dyDescent="0.4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 x14ac:dyDescent="0.4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 x14ac:dyDescent="0.4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 x14ac:dyDescent="0.4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 x14ac:dyDescent="0.4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 x14ac:dyDescent="0.4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 x14ac:dyDescent="0.4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 x14ac:dyDescent="0.4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 x14ac:dyDescent="0.4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 x14ac:dyDescent="0.4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 x14ac:dyDescent="0.4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 x14ac:dyDescent="0.4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 x14ac:dyDescent="0.4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 x14ac:dyDescent="0.4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 x14ac:dyDescent="0.4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 x14ac:dyDescent="0.4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 x14ac:dyDescent="0.4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 x14ac:dyDescent="0.4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 x14ac:dyDescent="0.4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 x14ac:dyDescent="0.4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 x14ac:dyDescent="0.4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 x14ac:dyDescent="0.4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 x14ac:dyDescent="0.4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 x14ac:dyDescent="0.4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 x14ac:dyDescent="0.4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 x14ac:dyDescent="0.4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 x14ac:dyDescent="0.4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 x14ac:dyDescent="0.4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 x14ac:dyDescent="0.4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 x14ac:dyDescent="0.4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 x14ac:dyDescent="0.4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 x14ac:dyDescent="0.4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 x14ac:dyDescent="0.4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 x14ac:dyDescent="0.4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 x14ac:dyDescent="0.4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 x14ac:dyDescent="0.4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 x14ac:dyDescent="0.4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 x14ac:dyDescent="0.4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 x14ac:dyDescent="0.4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 x14ac:dyDescent="0.4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 x14ac:dyDescent="0.4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 x14ac:dyDescent="0.4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 x14ac:dyDescent="0.4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 x14ac:dyDescent="0.4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 x14ac:dyDescent="0.4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 x14ac:dyDescent="0.4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 x14ac:dyDescent="0.4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 x14ac:dyDescent="0.4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 x14ac:dyDescent="0.4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 x14ac:dyDescent="0.4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 x14ac:dyDescent="0.4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 x14ac:dyDescent="0.4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 x14ac:dyDescent="0.4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 x14ac:dyDescent="0.4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 x14ac:dyDescent="0.4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 x14ac:dyDescent="0.4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 x14ac:dyDescent="0.4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 x14ac:dyDescent="0.4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 x14ac:dyDescent="0.4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 x14ac:dyDescent="0.4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 x14ac:dyDescent="0.4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 x14ac:dyDescent="0.4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 x14ac:dyDescent="0.4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 x14ac:dyDescent="0.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customHeight="1" x14ac:dyDescent="0.4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customHeight="1" x14ac:dyDescent="0.4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customHeight="1" x14ac:dyDescent="0.4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customHeight="1" x14ac:dyDescent="0.4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customHeight="1" x14ac:dyDescent="0.4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customHeight="1" x14ac:dyDescent="0.4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customHeight="1" x14ac:dyDescent="0.4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customHeight="1" x14ac:dyDescent="0.4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customHeight="1" x14ac:dyDescent="0.4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customHeight="1" x14ac:dyDescent="0.4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customHeight="1" x14ac:dyDescent="0.4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customHeight="1" x14ac:dyDescent="0.4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customHeight="1" x14ac:dyDescent="0.4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customHeight="1" x14ac:dyDescent="0.4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customHeight="1" x14ac:dyDescent="0.4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customHeight="1" x14ac:dyDescent="0.4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customHeight="1" x14ac:dyDescent="0.4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customHeight="1" x14ac:dyDescent="0.4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customHeight="1" x14ac:dyDescent="0.4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customHeight="1" x14ac:dyDescent="0.4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customHeight="1" x14ac:dyDescent="0.4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customHeight="1" x14ac:dyDescent="0.4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customHeight="1" x14ac:dyDescent="0.4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customHeight="1" x14ac:dyDescent="0.4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 x14ac:dyDescent="0.4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 x14ac:dyDescent="0.4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 x14ac:dyDescent="0.4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 x14ac:dyDescent="0.4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 x14ac:dyDescent="0.4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 x14ac:dyDescent="0.4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 x14ac:dyDescent="0.4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 x14ac:dyDescent="0.4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 x14ac:dyDescent="0.4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 x14ac:dyDescent="0.4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 x14ac:dyDescent="0.4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 x14ac:dyDescent="0.4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 x14ac:dyDescent="0.4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 x14ac:dyDescent="0.4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 x14ac:dyDescent="0.4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 x14ac:dyDescent="0.4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 x14ac:dyDescent="0.4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 x14ac:dyDescent="0.4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 x14ac:dyDescent="0.4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 x14ac:dyDescent="0.4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 x14ac:dyDescent="0.4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 x14ac:dyDescent="0.4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 x14ac:dyDescent="0.4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customHeight="1" x14ac:dyDescent="0.4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customHeight="1" x14ac:dyDescent="0.4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customHeight="1" x14ac:dyDescent="0.4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customHeight="1" x14ac:dyDescent="0.4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customHeight="1" x14ac:dyDescent="0.4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</sheetData>
  <mergeCells count="1">
    <mergeCell ref="C5:F5"/>
  </mergeCells>
  <conditionalFormatting sqref="L10:U15 L19:U19">
    <cfRule type="cellIs" dxfId="0" priority="1" operator="greater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VC Corner</dc:creator>
  <cp:lastModifiedBy>The VC Corner</cp:lastModifiedBy>
  <dcterms:created xsi:type="dcterms:W3CDTF">2022-07-14T13:02:33Z</dcterms:created>
  <dcterms:modified xsi:type="dcterms:W3CDTF">2025-05-26T21:39:12Z</dcterms:modified>
</cp:coreProperties>
</file>